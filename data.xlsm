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rishabhsingh/Desktop/untitled folder 2/final_ppt/"/>
    </mc:Choice>
  </mc:AlternateContent>
  <xr:revisionPtr revIDLastSave="0" documentId="13_ncr:1_{77A747AF-9388-6F46-9083-04E53AF8C529}" xr6:coauthVersionLast="47" xr6:coauthVersionMax="47" xr10:uidLastSave="{00000000-0000-0000-0000-000000000000}"/>
  <bookViews>
    <workbookView xWindow="0" yWindow="500" windowWidth="33600" windowHeight="19060" activeTab="4" xr2:uid="{00000000-000D-0000-FFFF-FFFF00000000}"/>
  </bookViews>
  <sheets>
    <sheet name="CURRENT_BUSINESS_CYCLE_STATUS" sheetId="8" r:id="rId1"/>
    <sheet name="BUSINESS_CYCLE_VARIABLES" sheetId="7" r:id="rId2"/>
    <sheet name="Sheet2" sheetId="5" r:id="rId3"/>
    <sheet name="hedge_fund_project" sheetId="1" r:id="rId4"/>
    <sheet name="Regression- S&amp;P500" sheetId="3" r:id="rId5"/>
  </sheets>
  <definedNames>
    <definedName name="biz_cycle">#REF!</definedName>
    <definedName name="capital_HEDG">#REF!</definedName>
    <definedName name="capital_port">#REF!</definedName>
    <definedName name="capital_SPY">#REF!</definedName>
    <definedName name="CIQWBGuid" hidden="1">"d260ca1d-0dbd-4057-8bf5-5a021a4f61d5"</definedName>
    <definedName name="CIQWBInfo" hidden="1">"{ ""CIQVersion"":""9.49.2423.4439"" }"</definedName>
    <definedName name="downside_risk_port">#REF!</definedName>
    <definedName name="downside_risk_SPY">#REF!</definedName>
    <definedName name="drawdown_HEDG">#REF!</definedName>
    <definedName name="drawdown_port">#REF!</definedName>
    <definedName name="drawdown_SPY">#REF!</definedName>
    <definedName name="ex_ret_HEDG">#REF!</definedName>
    <definedName name="ex_ret_port">#REF!</definedName>
    <definedName name="ex_ret_SPY">#REF!</definedName>
    <definedName name="ex_ret_XLB">#REF!</definedName>
    <definedName name="ex_ret_XLE">#REF!</definedName>
    <definedName name="ex_ret_XLF">#REF!</definedName>
    <definedName name="ex_ret_XLI">#REF!</definedName>
    <definedName name="ex_ret_XLK">#REF!</definedName>
    <definedName name="ex_ret_XLP">#REF!</definedName>
    <definedName name="ex_ret_XLU">#REF!</definedName>
    <definedName name="ex_ret_XLV">#REF!</definedName>
    <definedName name="ex_ret_XLY">#REF!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44833.5977430556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periods">#REF!</definedName>
    <definedName name="ret_HEDG">#REF!</definedName>
    <definedName name="ret_port">#REF!</definedName>
    <definedName name="ret_port_minus_SPY">#REF!</definedName>
    <definedName name="ret_SPY">#REF!</definedName>
    <definedName name="ret_XLB">#REF!</definedName>
    <definedName name="ret_XLE">#REF!</definedName>
    <definedName name="ret_XLF">#REF!</definedName>
    <definedName name="ret_XLI">#REF!</definedName>
    <definedName name="ret_XLK">#REF!</definedName>
    <definedName name="ret_XLP">#REF!</definedName>
    <definedName name="ret_XLU">#REF!</definedName>
    <definedName name="ret_XLV">#REF!</definedName>
    <definedName name="ret_XLY">#REF!</definedName>
    <definedName name="rf">#REF!</definedName>
    <definedName name="sector_index">#REF!</definedName>
    <definedName name="sector_weights">#REF!</definedName>
    <definedName name="solver_eng" localSheetId="3" hidden="1">1</definedName>
    <definedName name="solver_lin" localSheetId="3" hidden="1">2</definedName>
    <definedName name="solver_neg" localSheetId="3" hidden="1">1</definedName>
    <definedName name="solver_num" localSheetId="3" hidden="1">0</definedName>
    <definedName name="solver_opt" localSheetId="3" hidden="1">hedge_fund_project!$P$3</definedName>
    <definedName name="solver_typ" localSheetId="3" hidden="1">1</definedName>
    <definedName name="solver_val" localSheetId="3" hidden="1">0</definedName>
    <definedName name="solver_ver" localSheetId="3" hidden="1">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3" i="8" l="1"/>
  <c r="C202" i="8"/>
  <c r="C201" i="8"/>
  <c r="C200" i="8"/>
  <c r="C199" i="8"/>
  <c r="C198" i="8"/>
  <c r="C197" i="8"/>
  <c r="C196" i="8"/>
  <c r="C195" i="8"/>
  <c r="C194" i="8"/>
  <c r="C193" i="8"/>
  <c r="C192" i="8"/>
  <c r="C191" i="8"/>
  <c r="C190" i="8"/>
  <c r="C189" i="8"/>
  <c r="C188" i="8"/>
  <c r="C187" i="8"/>
  <c r="C186" i="8"/>
  <c r="C185" i="8"/>
  <c r="C184" i="8"/>
  <c r="C183" i="8"/>
  <c r="C182" i="8"/>
  <c r="C181" i="8"/>
  <c r="C180" i="8"/>
  <c r="C179" i="8"/>
  <c r="C178" i="8"/>
  <c r="C177" i="8"/>
  <c r="C176" i="8"/>
  <c r="C175" i="8"/>
  <c r="C174" i="8"/>
  <c r="C173" i="8"/>
  <c r="C172" i="8"/>
  <c r="C171" i="8"/>
  <c r="C170" i="8"/>
  <c r="C169" i="8"/>
  <c r="C168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P19" i="1"/>
  <c r="Q4" i="1"/>
  <c r="Q11" i="1" s="1"/>
  <c r="Q6" i="1"/>
  <c r="Q5" i="1"/>
  <c r="R13" i="1"/>
  <c r="Q13" i="1"/>
  <c r="R12" i="1"/>
  <c r="R11" i="1"/>
  <c r="Q12" i="1"/>
</calcChain>
</file>

<file path=xl/sharedStrings.xml><?xml version="1.0" encoding="utf-8"?>
<sst xmlns="http://schemas.openxmlformats.org/spreadsheetml/2006/main" count="369" uniqueCount="83">
  <si>
    <t>price_date</t>
  </si>
  <si>
    <t>Portfolio 
long term return</t>
  </si>
  <si>
    <t>portfolio 
short term return</t>
  </si>
  <si>
    <t>portfolio
total return</t>
  </si>
  <si>
    <t>Spy adjusted closed price</t>
  </si>
  <si>
    <t>SPY Return</t>
  </si>
  <si>
    <t>HEDG Return</t>
  </si>
  <si>
    <t>Portfolio Valuation</t>
  </si>
  <si>
    <t>S&amp;P 500 Benchmark Valuation</t>
  </si>
  <si>
    <t>HEDG Valuation</t>
  </si>
  <si>
    <t>Fund Return</t>
  </si>
  <si>
    <t>Market Return Positive</t>
  </si>
  <si>
    <t>Hedge Return</t>
  </si>
  <si>
    <t>Fund Performance Evaluation Statistics</t>
  </si>
  <si>
    <t>Metric</t>
  </si>
  <si>
    <t>Fund</t>
  </si>
  <si>
    <t>Market</t>
  </si>
  <si>
    <t>Portfolio Long Position</t>
  </si>
  <si>
    <t>Portfolio Short Position</t>
  </si>
  <si>
    <t>Beta</t>
  </si>
  <si>
    <t>Annual Risk Free Rate of Interest</t>
  </si>
  <si>
    <t>Annual Rate of Return</t>
  </si>
  <si>
    <t>Net Return</t>
  </si>
  <si>
    <t>Sharpe Ratio</t>
  </si>
  <si>
    <t>Treynor Ratio</t>
  </si>
  <si>
    <t>Batting Average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</si>
  <si>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</si>
  <si>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</si>
  <si>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</si>
  <si>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</si>
  <si>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</si>
  <si>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</si>
  <si>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</si>
  <si>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</si>
  <si>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</si>
  <si>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</si>
  <si>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</si>
  <si>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</si>
  <si>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</si>
  <si>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</si>
  <si>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</si>
  <si>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</si>
  <si>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</si>
  <si>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</si>
  <si>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</si>
  <si>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</si>
  <si>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</si>
  <si>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</si>
  <si>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</si>
  <si>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</si>
  <si>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</si>
  <si>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Standard Deviation</t>
  </si>
  <si>
    <t>Sector</t>
  </si>
  <si>
    <t>Market Cycle</t>
  </si>
  <si>
    <t>Consumer Staples</t>
  </si>
  <si>
    <t>Healthcare</t>
  </si>
  <si>
    <t>Utilities</t>
  </si>
  <si>
    <t>Energy</t>
  </si>
  <si>
    <t>Industrials</t>
  </si>
  <si>
    <t>Financials</t>
  </si>
  <si>
    <t>Consumers Discretionary</t>
  </si>
  <si>
    <t>Information Technology</t>
  </si>
  <si>
    <t>Materials</t>
  </si>
  <si>
    <t>Long</t>
  </si>
  <si>
    <t>Short</t>
  </si>
  <si>
    <t>Decline</t>
  </si>
  <si>
    <t>ü</t>
  </si>
  <si>
    <t>Recovery</t>
  </si>
  <si>
    <t>Early</t>
  </si>
  <si>
    <t>Late</t>
  </si>
  <si>
    <t>Rebound</t>
  </si>
  <si>
    <t>Factor</t>
  </si>
  <si>
    <t>Value (VTV)</t>
  </si>
  <si>
    <t>Growth (VOOG)</t>
  </si>
  <si>
    <t>Momentum (MTUM)</t>
  </si>
  <si>
    <t>Quality (QUAL)</t>
  </si>
  <si>
    <t>Low Volatility (USMV)</t>
  </si>
  <si>
    <t>Month</t>
  </si>
  <si>
    <t>LEI (2016=100)</t>
  </si>
  <si>
    <t>LEI Y/Y</t>
  </si>
  <si>
    <t>High Boundary</t>
  </si>
  <si>
    <t>Low Boundary</t>
  </si>
  <si>
    <t>Business Cycle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</si>
</sst>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164" formatCode="0.0"/>
  </numFmts>
  <fonts count="24" x14ac:knownFonts="1">
    <font>
      <sz val="12"/>
      <color theme="1"/>
      <name val="Calibri"/>
      <family val="2"/>
      <scheme val="minor"/>
    </font>
    <font>
      <sz val="12"/>
      <color indexed="8"/>
      <name val="Calibri"/>
      <family val="2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9C0006"/>
      <name val="Calibri"/>
      <family val="2"/>
      <scheme val="minor"/>
    </font>
    <font>
      <b/>
      <sz val="12"/>
      <color indexed="52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sz val="12"/>
      <color rgb="FF006100"/>
      <name val="Calibri"/>
      <family val="2"/>
      <scheme val="minor"/>
    </font>
    <font>
      <b/>
      <sz val="15"/>
      <color indexed="54"/>
      <name val="Calibri"/>
      <family val="2"/>
      <scheme val="minor"/>
    </font>
    <font>
      <b/>
      <sz val="13"/>
      <color indexed="54"/>
      <name val="Calibri"/>
      <family val="2"/>
      <scheme val="minor"/>
    </font>
    <font>
      <b/>
      <sz val="11"/>
      <color indexed="54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color indexed="52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8"/>
      <color indexed="54"/>
      <name val="Calibri Light"/>
      <family val="2"/>
      <scheme val="maj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Wingdings"/>
      <charset val="2"/>
    </font>
  </fonts>
  <fills count="3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27"/>
      </patternFill>
    </fill>
    <fill>
      <patternFill patternType="solid">
        <fgColor indexed="42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57"/>
      </patternFill>
    </fill>
    <fill>
      <patternFill patternType="solid">
        <fgColor indexed="62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4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8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A5858"/>
        <bgColor indexed="64"/>
      </patternFill>
    </fill>
    <fill>
      <patternFill patternType="solid">
        <fgColor theme="0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44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1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15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3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21" borderId="0" applyNumberFormat="0" applyBorder="0" applyAlignment="0" applyProtection="0"/>
    <xf numFmtId="0" fontId="3" fillId="12" borderId="0" applyNumberFormat="0" applyBorder="0" applyAlignment="0" applyProtection="0"/>
    <xf numFmtId="0" fontId="3" fillId="22" borderId="0" applyNumberFormat="0" applyBorder="0" applyAlignment="0" applyProtection="0"/>
    <xf numFmtId="0" fontId="3" fillId="9" borderId="0" applyNumberFormat="0" applyBorder="0" applyAlignment="0" applyProtection="0"/>
    <xf numFmtId="0" fontId="4" fillId="13" borderId="0" applyNumberFormat="0" applyBorder="0" applyAlignment="0" applyProtection="0"/>
    <xf numFmtId="0" fontId="5" fillId="3" borderId="5" applyNumberFormat="0" applyAlignment="0" applyProtection="0"/>
    <xf numFmtId="0" fontId="6" fillId="23" borderId="6" applyNumberFormat="0" applyAlignment="0" applyProtection="0"/>
    <xf numFmtId="0" fontId="7" fillId="0" borderId="0" applyNumberFormat="0" applyFill="0" applyBorder="0" applyAlignment="0" applyProtection="0"/>
    <xf numFmtId="0" fontId="8" fillId="6" borderId="0" applyNumberFormat="0" applyBorder="0" applyAlignment="0" applyProtection="0"/>
    <xf numFmtId="0" fontId="9" fillId="0" borderId="1" applyNumberFormat="0" applyFill="0" applyAlignment="0" applyProtection="0"/>
    <xf numFmtId="0" fontId="10" fillId="0" borderId="7" applyNumberFormat="0" applyFill="0" applyAlignment="0" applyProtection="0"/>
    <xf numFmtId="0" fontId="11" fillId="0" borderId="2" applyNumberFormat="0" applyFill="0" applyAlignment="0" applyProtection="0"/>
    <xf numFmtId="0" fontId="11" fillId="0" borderId="0" applyNumberFormat="0" applyFill="0" applyBorder="0" applyAlignment="0" applyProtection="0"/>
    <xf numFmtId="0" fontId="12" fillId="3" borderId="5" applyNumberFormat="0" applyAlignment="0" applyProtection="0"/>
    <xf numFmtId="0" fontId="13" fillId="0" borderId="3" applyNumberFormat="0" applyFill="0" applyAlignment="0" applyProtection="0"/>
    <xf numFmtId="0" fontId="14" fillId="24" borderId="0" applyNumberFormat="0" applyBorder="0" applyAlignment="0" applyProtection="0"/>
    <xf numFmtId="0" fontId="1" fillId="25" borderId="8" applyNumberFormat="0" applyFont="0" applyAlignment="0" applyProtection="0"/>
    <xf numFmtId="0" fontId="15" fillId="3" borderId="9" applyNumberFormat="0" applyAlignment="0" applyProtection="0"/>
    <xf numFmtId="0" fontId="16" fillId="0" borderId="0" applyNumberFormat="0" applyFill="0" applyBorder="0" applyAlignment="0" applyProtection="0"/>
    <xf numFmtId="0" fontId="17" fillId="0" borderId="4" applyNumberFormat="0" applyFill="0" applyAlignment="0" applyProtection="0"/>
    <xf numFmtId="0" fontId="18" fillId="0" borderId="0" applyNumberForma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</cellStyleXfs>
  <cellXfs count="72">
    <xf numFmtId="0" fontId="0" fillId="0" borderId="0" xfId="0"/>
    <xf numFmtId="14" fontId="0" fillId="0" borderId="0" xfId="0" applyNumberFormat="1"/>
    <xf numFmtId="6" fontId="0" fillId="0" borderId="0" xfId="0" applyNumberFormat="1"/>
    <xf numFmtId="10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9" fillId="0" borderId="11" xfId="0" applyFont="1" applyFill="1" applyBorder="1" applyAlignment="1">
      <alignment horizontal="center"/>
    </xf>
    <xf numFmtId="0" fontId="19" fillId="0" borderId="11" xfId="0" applyFont="1" applyFill="1" applyBorder="1" applyAlignment="1">
      <alignment horizontal="centerContinuous"/>
    </xf>
    <xf numFmtId="0" fontId="17" fillId="26" borderId="0" xfId="0" applyFont="1" applyFill="1"/>
    <xf numFmtId="0" fontId="17" fillId="26" borderId="0" xfId="0" applyFont="1" applyFill="1" applyAlignment="1">
      <alignment wrapText="1"/>
    </xf>
    <xf numFmtId="0" fontId="17" fillId="26" borderId="12" xfId="0" applyFont="1" applyFill="1" applyBorder="1"/>
    <xf numFmtId="0" fontId="17" fillId="26" borderId="13" xfId="0" applyFont="1" applyFill="1" applyBorder="1"/>
    <xf numFmtId="0" fontId="0" fillId="26" borderId="14" xfId="0" applyFill="1" applyBorder="1"/>
    <xf numFmtId="0" fontId="0" fillId="0" borderId="15" xfId="0" applyBorder="1"/>
    <xf numFmtId="10" fontId="0" fillId="0" borderId="15" xfId="0" applyNumberFormat="1" applyBorder="1"/>
    <xf numFmtId="2" fontId="0" fillId="0" borderId="15" xfId="0" applyNumberFormat="1" applyBorder="1"/>
    <xf numFmtId="0" fontId="0" fillId="26" borderId="16" xfId="0" applyFill="1" applyBorder="1"/>
    <xf numFmtId="0" fontId="0" fillId="0" borderId="17" xfId="0" applyBorder="1"/>
    <xf numFmtId="0" fontId="17" fillId="26" borderId="18" xfId="0" applyFont="1" applyFill="1" applyBorder="1"/>
    <xf numFmtId="0" fontId="0" fillId="0" borderId="19" xfId="0" applyBorder="1"/>
    <xf numFmtId="0" fontId="0" fillId="0" borderId="19" xfId="0" applyFill="1" applyBorder="1" applyAlignment="1"/>
    <xf numFmtId="10" fontId="0" fillId="0" borderId="19" xfId="0" applyNumberFormat="1" applyBorder="1"/>
    <xf numFmtId="2" fontId="0" fillId="0" borderId="19" xfId="0" applyNumberFormat="1" applyBorder="1"/>
    <xf numFmtId="2" fontId="0" fillId="0" borderId="19" xfId="0" applyNumberFormat="1" applyBorder="1" applyAlignment="1">
      <alignment horizontal="left" indent="8"/>
    </xf>
    <xf numFmtId="0" fontId="0" fillId="0" borderId="20" xfId="0" applyBorder="1"/>
    <xf numFmtId="0" fontId="20" fillId="0" borderId="0" xfId="42"/>
    <xf numFmtId="0" fontId="20" fillId="0" borderId="0" xfId="42" applyAlignment="1">
      <alignment horizontal="center"/>
    </xf>
    <xf numFmtId="0" fontId="20" fillId="0" borderId="29" xfId="42" applyBorder="1" applyAlignment="1">
      <alignment horizontal="center"/>
    </xf>
    <xf numFmtId="0" fontId="20" fillId="0" borderId="30" xfId="42" applyBorder="1" applyAlignment="1">
      <alignment horizontal="center"/>
    </xf>
    <xf numFmtId="0" fontId="20" fillId="0" borderId="31" xfId="42" applyBorder="1" applyAlignment="1">
      <alignment horizontal="center"/>
    </xf>
    <xf numFmtId="0" fontId="22" fillId="28" borderId="32" xfId="42" applyFont="1" applyFill="1" applyBorder="1"/>
    <xf numFmtId="0" fontId="23" fillId="29" borderId="29" xfId="42" applyFont="1" applyFill="1" applyBorder="1" applyAlignment="1">
      <alignment horizontal="center"/>
    </xf>
    <xf numFmtId="0" fontId="23" fillId="0" borderId="30" xfId="42" applyFont="1" applyBorder="1" applyAlignment="1">
      <alignment horizontal="center"/>
    </xf>
    <xf numFmtId="0" fontId="23" fillId="29" borderId="30" xfId="42" applyFont="1" applyFill="1" applyBorder="1" applyAlignment="1">
      <alignment horizontal="center"/>
    </xf>
    <xf numFmtId="0" fontId="20" fillId="0" borderId="30" xfId="42" applyBorder="1"/>
    <xf numFmtId="0" fontId="23" fillId="30" borderId="30" xfId="42" applyFont="1" applyFill="1" applyBorder="1" applyAlignment="1">
      <alignment horizontal="center"/>
    </xf>
    <xf numFmtId="0" fontId="20" fillId="0" borderId="31" xfId="42" applyBorder="1"/>
    <xf numFmtId="0" fontId="20" fillId="0" borderId="29" xfId="42" applyBorder="1"/>
    <xf numFmtId="0" fontId="22" fillId="28" borderId="33" xfId="42" applyFont="1" applyFill="1" applyBorder="1"/>
    <xf numFmtId="0" fontId="20" fillId="0" borderId="34" xfId="42" applyBorder="1"/>
    <xf numFmtId="0" fontId="20" fillId="0" borderId="35" xfId="42" applyBorder="1"/>
    <xf numFmtId="0" fontId="20" fillId="0" borderId="36" xfId="42" applyBorder="1"/>
    <xf numFmtId="0" fontId="23" fillId="0" borderId="29" xfId="42" applyFont="1" applyBorder="1" applyAlignment="1">
      <alignment horizontal="center"/>
    </xf>
    <xf numFmtId="0" fontId="21" fillId="0" borderId="0" xfId="42" applyFont="1"/>
    <xf numFmtId="0" fontId="23" fillId="0" borderId="0" xfId="42" applyFont="1" applyAlignment="1">
      <alignment horizontal="center"/>
    </xf>
    <xf numFmtId="14" fontId="20" fillId="0" borderId="0" xfId="42" applyNumberFormat="1" applyAlignment="1">
      <alignment horizontal="left"/>
    </xf>
    <xf numFmtId="14" fontId="20" fillId="0" borderId="0" xfId="42" applyNumberFormat="1" applyAlignment="1">
      <alignment horizontal="center"/>
    </xf>
    <xf numFmtId="164" fontId="20" fillId="31" borderId="0" xfId="42" applyNumberFormat="1" applyFill="1" applyAlignment="1">
      <alignment horizontal="center"/>
    </xf>
    <xf numFmtId="10" fontId="0" fillId="0" borderId="0" xfId="43" applyNumberFormat="1" applyFont="1"/>
    <xf numFmtId="9" fontId="20" fillId="0" borderId="0" xfId="42" applyNumberFormat="1"/>
    <xf numFmtId="164" fontId="20" fillId="0" borderId="0" xfId="42" applyNumberFormat="1" applyAlignment="1">
      <alignment horizontal="center"/>
    </xf>
    <xf numFmtId="10" fontId="0" fillId="0" borderId="0" xfId="43" applyNumberFormat="1" applyFont="1" applyAlignment="1">
      <alignment horizontal="center"/>
    </xf>
    <xf numFmtId="9" fontId="20" fillId="0" borderId="0" xfId="42" applyNumberFormat="1" applyAlignment="1">
      <alignment horizontal="center"/>
    </xf>
    <xf numFmtId="0" fontId="22" fillId="0" borderId="0" xfId="42" applyFont="1" applyAlignment="1">
      <alignment horizontal="center"/>
    </xf>
    <xf numFmtId="0" fontId="22" fillId="0" borderId="26" xfId="42" applyFont="1" applyBorder="1" applyAlignment="1">
      <alignment horizontal="center"/>
    </xf>
    <xf numFmtId="0" fontId="22" fillId="0" borderId="27" xfId="42" applyFont="1" applyBorder="1" applyAlignment="1">
      <alignment horizontal="center"/>
    </xf>
    <xf numFmtId="0" fontId="21" fillId="27" borderId="37" xfId="42" applyFont="1" applyFill="1" applyBorder="1" applyAlignment="1">
      <alignment horizontal="center"/>
    </xf>
    <xf numFmtId="0" fontId="21" fillId="27" borderId="0" xfId="42" applyFont="1" applyFill="1" applyAlignment="1">
      <alignment horizontal="center"/>
    </xf>
    <xf numFmtId="0" fontId="22" fillId="28" borderId="12" xfId="42" applyFont="1" applyFill="1" applyBorder="1" applyAlignment="1">
      <alignment horizontal="left" vertical="center"/>
    </xf>
    <xf numFmtId="0" fontId="22" fillId="28" borderId="41" xfId="42" applyFont="1" applyFill="1" applyBorder="1" applyAlignment="1">
      <alignment horizontal="left" vertical="center"/>
    </xf>
    <xf numFmtId="0" fontId="22" fillId="0" borderId="38" xfId="42" applyFont="1" applyBorder="1" applyAlignment="1">
      <alignment horizontal="center"/>
    </xf>
    <xf numFmtId="0" fontId="22" fillId="0" borderId="39" xfId="42" applyFont="1" applyBorder="1" applyAlignment="1">
      <alignment horizontal="center"/>
    </xf>
    <xf numFmtId="0" fontId="22" fillId="0" borderId="40" xfId="42" applyFont="1" applyBorder="1" applyAlignment="1">
      <alignment horizontal="center"/>
    </xf>
    <xf numFmtId="0" fontId="21" fillId="27" borderId="21" xfId="42" applyFont="1" applyFill="1" applyBorder="1" applyAlignment="1">
      <alignment horizontal="center"/>
    </xf>
    <xf numFmtId="0" fontId="21" fillId="27" borderId="22" xfId="42" applyFont="1" applyFill="1" applyBorder="1" applyAlignment="1">
      <alignment horizontal="center"/>
    </xf>
    <xf numFmtId="0" fontId="21" fillId="27" borderId="23" xfId="42" applyFont="1" applyFill="1" applyBorder="1" applyAlignment="1">
      <alignment horizontal="center"/>
    </xf>
    <xf numFmtId="0" fontId="22" fillId="28" borderId="18" xfId="42" applyFont="1" applyFill="1" applyBorder="1" applyAlignment="1">
      <alignment horizontal="left" vertical="center"/>
    </xf>
    <xf numFmtId="0" fontId="22" fillId="28" borderId="28" xfId="42" applyFont="1" applyFill="1" applyBorder="1" applyAlignment="1">
      <alignment horizontal="left" vertical="center"/>
    </xf>
    <xf numFmtId="0" fontId="22" fillId="0" borderId="24" xfId="42" applyFont="1" applyBorder="1" applyAlignment="1">
      <alignment horizontal="center"/>
    </xf>
    <xf numFmtId="0" fontId="22" fillId="0" borderId="25" xfId="42" applyFont="1" applyBorder="1" applyAlignment="1">
      <alignment horizontal="center"/>
    </xf>
    <xf numFmtId="14" fontId="22" fillId="26" borderId="0" xfId="42" applyNumberFormat="1" applyFont="1" applyFill="1" applyAlignment="1">
      <alignment horizontal="left"/>
    </xf>
    <xf numFmtId="0" fontId="22" fillId="26" borderId="0" xfId="42" applyFont="1" applyFill="1"/>
  </cellXfs>
  <cellStyles count="4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42" xr:uid="{526FABAA-1BF0-8B43-ADE7-4BAF73175D4F}"/>
    <cellStyle name="Note" xfId="37" builtinId="10" customBuiltin="1"/>
    <cellStyle name="Output" xfId="38" builtinId="21" customBuiltin="1"/>
    <cellStyle name="Percent 2" xfId="43" xr:uid="{F1FEB925-1682-834F-9024-6328D806BE46}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13</xdr:row>
      <xdr:rowOff>0</xdr:rowOff>
    </xdr:from>
    <xdr:to>
      <xdr:col>16</xdr:col>
      <xdr:colOff>9525</xdr:colOff>
      <xdr:row>29</xdr:row>
      <xdr:rowOff>73025</xdr:rowOff>
    </xdr:to>
    <xdr:pic>
      <xdr:nvPicPr>
        <xdr:cNvPr id="2" name="Picture 1" descr="Sector Rotation Strategy - 3">
          <a:extLst>
            <a:ext uri="{FF2B5EF4-FFF2-40B4-BE49-F238E27FC236}">
              <a16:creationId xmlns:a16="http://schemas.microsoft.com/office/drawing/2014/main" id="{F80045AF-0F13-0449-AE72-740ADAD5F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4025" y="190500"/>
          <a:ext cx="6731000" cy="3324225"/>
        </a:xfrm>
        <a:prstGeom prst="rect">
          <a:avLst/>
        </a:prstGeom>
        <a:noFill/>
        <a:ln>
          <a:solidFill>
            <a:schemeClr val="bg2">
              <a:lumMod val="90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954405</xdr:colOff>
      <xdr:row>32</xdr:row>
      <xdr:rowOff>0</xdr:rowOff>
    </xdr:from>
    <xdr:to>
      <xdr:col>15</xdr:col>
      <xdr:colOff>603885</xdr:colOff>
      <xdr:row>47</xdr:row>
      <xdr:rowOff>97155</xdr:rowOff>
    </xdr:to>
    <xdr:pic>
      <xdr:nvPicPr>
        <xdr:cNvPr id="3" name="Picture 2" descr="Sector Rotation - 4">
          <a:extLst>
            <a:ext uri="{FF2B5EF4-FFF2-40B4-BE49-F238E27FC236}">
              <a16:creationId xmlns:a16="http://schemas.microsoft.com/office/drawing/2014/main" id="{BA47813C-F531-6449-8092-B778EC8441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12105" y="3810000"/>
          <a:ext cx="6774180" cy="3145155"/>
        </a:xfrm>
        <a:prstGeom prst="rect">
          <a:avLst/>
        </a:prstGeom>
        <a:noFill/>
        <a:ln>
          <a:solidFill>
            <a:schemeClr val="bg2">
              <a:lumMod val="90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DAAAC-BEEC-E34F-9FF7-2CC5B4B33C53}">
  <dimension ref="A1:F203"/>
  <sheetViews>
    <sheetView workbookViewId="0">
      <selection activeCell="Q30" sqref="Q30"/>
    </sheetView>
  </sheetViews>
  <sheetFormatPr baseColWidth="10" defaultColWidth="8.83203125" defaultRowHeight="15" x14ac:dyDescent="0.2"/>
  <cols>
    <col min="1" max="1" width="9.6640625" style="45" bestFit="1" customWidth="1"/>
    <col min="2" max="2" width="13.5" style="25" bestFit="1" customWidth="1"/>
    <col min="3" max="3" width="7.83203125" style="25" bestFit="1" customWidth="1"/>
    <col min="4" max="4" width="14" style="25" bestFit="1" customWidth="1"/>
    <col min="5" max="5" width="13.5" style="25" bestFit="1" customWidth="1"/>
    <col min="6" max="6" width="14" style="25" bestFit="1" customWidth="1"/>
    <col min="7" max="16384" width="8.83203125" style="25"/>
  </cols>
  <sheetData>
    <row r="1" spans="1:6" x14ac:dyDescent="0.2">
      <c r="A1" s="70" t="s">
        <v>77</v>
      </c>
      <c r="B1" s="71" t="s">
        <v>78</v>
      </c>
      <c r="C1" s="71" t="s">
        <v>79</v>
      </c>
      <c r="D1" s="71" t="s">
        <v>80</v>
      </c>
      <c r="E1" s="71" t="s">
        <v>81</v>
      </c>
      <c r="F1" s="71" t="s">
        <v>82</v>
      </c>
    </row>
    <row r="2" spans="1:6" ht="16" hidden="1" x14ac:dyDescent="0.2">
      <c r="A2" s="46">
        <v>38718</v>
      </c>
      <c r="B2" s="47">
        <v>99.6</v>
      </c>
      <c r="C2" s="48"/>
      <c r="D2" s="49"/>
      <c r="E2" s="49"/>
    </row>
    <row r="3" spans="1:6" ht="16" hidden="1" x14ac:dyDescent="0.2">
      <c r="A3" s="46">
        <v>38749</v>
      </c>
      <c r="B3" s="47">
        <v>99.5</v>
      </c>
      <c r="C3" s="48"/>
      <c r="D3" s="49"/>
      <c r="E3" s="49"/>
    </row>
    <row r="4" spans="1:6" ht="16" hidden="1" x14ac:dyDescent="0.2">
      <c r="A4" s="46">
        <v>38777</v>
      </c>
      <c r="B4" s="47">
        <v>99.5</v>
      </c>
      <c r="C4" s="48"/>
      <c r="D4" s="49"/>
      <c r="E4" s="49"/>
    </row>
    <row r="5" spans="1:6" ht="16" hidden="1" x14ac:dyDescent="0.2">
      <c r="A5" s="46">
        <v>38808</v>
      </c>
      <c r="B5" s="47">
        <v>99.8</v>
      </c>
      <c r="C5" s="48"/>
      <c r="D5" s="49"/>
      <c r="E5" s="49"/>
    </row>
    <row r="6" spans="1:6" ht="16" hidden="1" x14ac:dyDescent="0.2">
      <c r="A6" s="46">
        <v>38838</v>
      </c>
      <c r="B6" s="47">
        <v>99.7</v>
      </c>
      <c r="C6" s="48"/>
      <c r="D6" s="49"/>
      <c r="E6" s="49"/>
    </row>
    <row r="7" spans="1:6" ht="16" hidden="1" x14ac:dyDescent="0.2">
      <c r="A7" s="46">
        <v>38869</v>
      </c>
      <c r="B7" s="47">
        <v>99.9</v>
      </c>
      <c r="C7" s="48"/>
      <c r="D7" s="49"/>
      <c r="E7" s="49"/>
    </row>
    <row r="8" spans="1:6" ht="16" hidden="1" x14ac:dyDescent="0.2">
      <c r="A8" s="46">
        <v>38899</v>
      </c>
      <c r="B8" s="47">
        <v>100.1</v>
      </c>
      <c r="C8" s="48"/>
      <c r="D8" s="49"/>
      <c r="E8" s="49"/>
    </row>
    <row r="9" spans="1:6" ht="16" hidden="1" x14ac:dyDescent="0.2">
      <c r="A9" s="46">
        <v>38930</v>
      </c>
      <c r="B9" s="47">
        <v>100.2</v>
      </c>
      <c r="C9" s="48"/>
      <c r="D9" s="49"/>
      <c r="E9" s="49"/>
    </row>
    <row r="10" spans="1:6" ht="16" hidden="1" x14ac:dyDescent="0.2">
      <c r="A10" s="46">
        <v>38961</v>
      </c>
      <c r="B10" s="47">
        <v>100.3</v>
      </c>
      <c r="C10" s="48"/>
      <c r="D10" s="49"/>
      <c r="E10" s="49"/>
    </row>
    <row r="11" spans="1:6" ht="16" hidden="1" x14ac:dyDescent="0.2">
      <c r="A11" s="46">
        <v>38991</v>
      </c>
      <c r="B11" s="47">
        <v>100.2</v>
      </c>
      <c r="C11" s="48"/>
      <c r="D11" s="49"/>
      <c r="E11" s="49"/>
    </row>
    <row r="12" spans="1:6" ht="16" hidden="1" x14ac:dyDescent="0.2">
      <c r="A12" s="46">
        <v>39022</v>
      </c>
      <c r="B12" s="47">
        <v>100.3</v>
      </c>
      <c r="C12" s="48"/>
      <c r="D12" s="49"/>
      <c r="E12" s="49"/>
    </row>
    <row r="13" spans="1:6" ht="16" hidden="1" x14ac:dyDescent="0.2">
      <c r="A13" s="46">
        <v>39052</v>
      </c>
      <c r="B13" s="47">
        <v>100.8</v>
      </c>
      <c r="C13" s="48"/>
      <c r="D13" s="49"/>
      <c r="E13" s="49"/>
    </row>
    <row r="14" spans="1:6" ht="16" x14ac:dyDescent="0.2">
      <c r="A14" s="46">
        <v>39083</v>
      </c>
      <c r="B14" s="50">
        <v>101.3</v>
      </c>
      <c r="C14" s="51">
        <f>B14/B2-1</f>
        <v>1.7068273092369468E-2</v>
      </c>
      <c r="D14" s="52">
        <v>7.0000000000000007E-2</v>
      </c>
      <c r="E14" s="52">
        <v>-0.03</v>
      </c>
      <c r="F14" s="26" t="s">
        <v>65</v>
      </c>
    </row>
    <row r="15" spans="1:6" ht="16" x14ac:dyDescent="0.2">
      <c r="A15" s="46">
        <v>39114</v>
      </c>
      <c r="B15" s="50">
        <v>101.2</v>
      </c>
      <c r="C15" s="51">
        <f>B15/B3-1</f>
        <v>1.7085427135678399E-2</v>
      </c>
      <c r="D15" s="52">
        <v>7.0000000000000007E-2</v>
      </c>
      <c r="E15" s="52">
        <v>-0.03</v>
      </c>
      <c r="F15" s="26" t="s">
        <v>65</v>
      </c>
    </row>
    <row r="16" spans="1:6" ht="16" x14ac:dyDescent="0.2">
      <c r="A16" s="46">
        <v>39142</v>
      </c>
      <c r="B16" s="50">
        <v>101.6</v>
      </c>
      <c r="C16" s="51">
        <f t="shared" ref="C16:C79" si="0">B16/B4-1</f>
        <v>2.1105527638190846E-2</v>
      </c>
      <c r="D16" s="52">
        <v>7.0000000000000007E-2</v>
      </c>
      <c r="E16" s="52">
        <v>-0.03</v>
      </c>
      <c r="F16" s="26" t="s">
        <v>65</v>
      </c>
    </row>
    <row r="17" spans="1:6" ht="16" x14ac:dyDescent="0.2">
      <c r="A17" s="46">
        <v>39173</v>
      </c>
      <c r="B17" s="50">
        <v>101.2</v>
      </c>
      <c r="C17" s="51">
        <f t="shared" si="0"/>
        <v>1.4028056112224574E-2</v>
      </c>
      <c r="D17" s="52">
        <v>7.0000000000000007E-2</v>
      </c>
      <c r="E17" s="52">
        <v>-0.03</v>
      </c>
      <c r="F17" s="26" t="s">
        <v>65</v>
      </c>
    </row>
    <row r="18" spans="1:6" ht="16" x14ac:dyDescent="0.2">
      <c r="A18" s="46">
        <v>39203</v>
      </c>
      <c r="B18" s="50">
        <v>101.2</v>
      </c>
      <c r="C18" s="51">
        <f t="shared" si="0"/>
        <v>1.5045135406218657E-2</v>
      </c>
      <c r="D18" s="52">
        <v>7.0000000000000007E-2</v>
      </c>
      <c r="E18" s="52">
        <v>-0.03</v>
      </c>
      <c r="F18" s="26" t="s">
        <v>65</v>
      </c>
    </row>
    <row r="19" spans="1:6" ht="16" x14ac:dyDescent="0.2">
      <c r="A19" s="46">
        <v>39234</v>
      </c>
      <c r="B19" s="50">
        <v>100.9</v>
      </c>
      <c r="C19" s="51">
        <f t="shared" si="0"/>
        <v>1.0010010010010006E-2</v>
      </c>
      <c r="D19" s="52">
        <v>7.0000000000000007E-2</v>
      </c>
      <c r="E19" s="52">
        <v>-0.03</v>
      </c>
      <c r="F19" s="26" t="s">
        <v>65</v>
      </c>
    </row>
    <row r="20" spans="1:6" ht="16" x14ac:dyDescent="0.2">
      <c r="A20" s="46">
        <v>39264</v>
      </c>
      <c r="B20" s="50">
        <v>100.7</v>
      </c>
      <c r="C20" s="51">
        <f t="shared" si="0"/>
        <v>5.9940059940060131E-3</v>
      </c>
      <c r="D20" s="52">
        <v>7.0000000000000007E-2</v>
      </c>
      <c r="E20" s="52">
        <v>-0.03</v>
      </c>
      <c r="F20" s="26" t="s">
        <v>65</v>
      </c>
    </row>
    <row r="21" spans="1:6" ht="16" x14ac:dyDescent="0.2">
      <c r="A21" s="46">
        <v>39295</v>
      </c>
      <c r="B21" s="50">
        <v>100.2</v>
      </c>
      <c r="C21" s="51">
        <f t="shared" si="0"/>
        <v>0</v>
      </c>
      <c r="D21" s="52">
        <v>7.0000000000000007E-2</v>
      </c>
      <c r="E21" s="52">
        <v>-0.03</v>
      </c>
      <c r="F21" s="26" t="s">
        <v>65</v>
      </c>
    </row>
    <row r="22" spans="1:6" ht="16" x14ac:dyDescent="0.2">
      <c r="A22" s="46">
        <v>39326</v>
      </c>
      <c r="B22" s="50">
        <v>99.6</v>
      </c>
      <c r="C22" s="51">
        <f t="shared" si="0"/>
        <v>-6.9790628115653508E-3</v>
      </c>
      <c r="D22" s="52">
        <v>7.0000000000000007E-2</v>
      </c>
      <c r="E22" s="52">
        <v>-0.03</v>
      </c>
      <c r="F22" s="26" t="s">
        <v>65</v>
      </c>
    </row>
    <row r="23" spans="1:6" ht="16" x14ac:dyDescent="0.2">
      <c r="A23" s="46">
        <v>39356</v>
      </c>
      <c r="B23" s="50">
        <v>99</v>
      </c>
      <c r="C23" s="51">
        <f t="shared" si="0"/>
        <v>-1.19760479041916E-2</v>
      </c>
      <c r="D23" s="52">
        <v>7.0000000000000007E-2</v>
      </c>
      <c r="E23" s="52">
        <v>-0.03</v>
      </c>
      <c r="F23" s="26" t="s">
        <v>65</v>
      </c>
    </row>
    <row r="24" spans="1:6" ht="16" x14ac:dyDescent="0.2">
      <c r="A24" s="46">
        <v>39387</v>
      </c>
      <c r="B24" s="50">
        <v>98.1</v>
      </c>
      <c r="C24" s="51">
        <f t="shared" si="0"/>
        <v>-2.193419740777669E-2</v>
      </c>
      <c r="D24" s="52">
        <v>7.0000000000000007E-2</v>
      </c>
      <c r="E24" s="52">
        <v>-0.03</v>
      </c>
      <c r="F24" s="26" t="s">
        <v>65</v>
      </c>
    </row>
    <row r="25" spans="1:6" ht="16" x14ac:dyDescent="0.2">
      <c r="A25" s="46">
        <v>39417</v>
      </c>
      <c r="B25" s="50">
        <v>97.2</v>
      </c>
      <c r="C25" s="51">
        <f t="shared" si="0"/>
        <v>-3.5714285714285698E-2</v>
      </c>
      <c r="D25" s="52">
        <v>7.0000000000000007E-2</v>
      </c>
      <c r="E25" s="52">
        <v>-0.03</v>
      </c>
      <c r="F25" s="26" t="s">
        <v>65</v>
      </c>
    </row>
    <row r="26" spans="1:6" ht="16" x14ac:dyDescent="0.2">
      <c r="A26" s="46">
        <v>39448</v>
      </c>
      <c r="B26" s="50">
        <v>96</v>
      </c>
      <c r="C26" s="51">
        <f t="shared" si="0"/>
        <v>-5.2319842053306975E-2</v>
      </c>
      <c r="D26" s="52">
        <v>7.0000000000000007E-2</v>
      </c>
      <c r="E26" s="52">
        <v>-0.03</v>
      </c>
      <c r="F26" s="26" t="s">
        <v>65</v>
      </c>
    </row>
    <row r="27" spans="1:6" ht="16" x14ac:dyDescent="0.2">
      <c r="A27" s="46">
        <v>39479</v>
      </c>
      <c r="B27" s="50">
        <v>94.8</v>
      </c>
      <c r="C27" s="51">
        <f t="shared" si="0"/>
        <v>-6.3241106719367668E-2</v>
      </c>
      <c r="D27" s="52">
        <v>7.0000000000000007E-2</v>
      </c>
      <c r="E27" s="52">
        <v>-0.03</v>
      </c>
      <c r="F27" s="26" t="s">
        <v>65</v>
      </c>
    </row>
    <row r="28" spans="1:6" ht="16" x14ac:dyDescent="0.2">
      <c r="A28" s="46">
        <v>39508</v>
      </c>
      <c r="B28" s="50">
        <v>93.4</v>
      </c>
      <c r="C28" s="51">
        <f t="shared" si="0"/>
        <v>-8.0708661417322691E-2</v>
      </c>
      <c r="D28" s="52">
        <v>7.0000000000000007E-2</v>
      </c>
      <c r="E28" s="52">
        <v>-0.03</v>
      </c>
      <c r="F28" s="26" t="s">
        <v>65</v>
      </c>
    </row>
    <row r="29" spans="1:6" ht="16" x14ac:dyDescent="0.2">
      <c r="A29" s="46">
        <v>39539</v>
      </c>
      <c r="B29" s="50">
        <v>92.8</v>
      </c>
      <c r="C29" s="51">
        <f t="shared" si="0"/>
        <v>-8.3003952569170036E-2</v>
      </c>
      <c r="D29" s="52">
        <v>7.0000000000000007E-2</v>
      </c>
      <c r="E29" s="52">
        <v>-0.03</v>
      </c>
      <c r="F29" s="26" t="s">
        <v>65</v>
      </c>
    </row>
    <row r="30" spans="1:6" ht="16" x14ac:dyDescent="0.2">
      <c r="A30" s="46">
        <v>39569</v>
      </c>
      <c r="B30" s="50">
        <v>91.9</v>
      </c>
      <c r="C30" s="51">
        <f t="shared" si="0"/>
        <v>-9.1897233201581052E-2</v>
      </c>
      <c r="D30" s="52">
        <v>7.0000000000000007E-2</v>
      </c>
      <c r="E30" s="52">
        <v>-0.03</v>
      </c>
      <c r="F30" s="26" t="s">
        <v>65</v>
      </c>
    </row>
    <row r="31" spans="1:6" ht="16" x14ac:dyDescent="0.2">
      <c r="A31" s="46">
        <v>39600</v>
      </c>
      <c r="B31" s="50">
        <v>91.5</v>
      </c>
      <c r="C31" s="51">
        <f t="shared" si="0"/>
        <v>-9.3161546085232971E-2</v>
      </c>
      <c r="D31" s="52">
        <v>7.0000000000000007E-2</v>
      </c>
      <c r="E31" s="52">
        <v>-0.03</v>
      </c>
      <c r="F31" s="26" t="s">
        <v>65</v>
      </c>
    </row>
    <row r="32" spans="1:6" ht="16" x14ac:dyDescent="0.2">
      <c r="A32" s="46">
        <v>39630</v>
      </c>
      <c r="B32" s="50">
        <v>89.4</v>
      </c>
      <c r="C32" s="51">
        <f t="shared" si="0"/>
        <v>-0.11221449851042697</v>
      </c>
      <c r="D32" s="52">
        <v>7.0000000000000007E-2</v>
      </c>
      <c r="E32" s="52">
        <v>-0.03</v>
      </c>
      <c r="F32" s="26" t="s">
        <v>65</v>
      </c>
    </row>
    <row r="33" spans="1:6" ht="16" x14ac:dyDescent="0.2">
      <c r="A33" s="46">
        <v>39661</v>
      </c>
      <c r="B33" s="50">
        <v>88.3</v>
      </c>
      <c r="C33" s="51">
        <f t="shared" si="0"/>
        <v>-0.11876247504990023</v>
      </c>
      <c r="D33" s="52">
        <v>7.0000000000000007E-2</v>
      </c>
      <c r="E33" s="52">
        <v>-0.03</v>
      </c>
      <c r="F33" s="26" t="s">
        <v>65</v>
      </c>
    </row>
    <row r="34" spans="1:6" ht="16" x14ac:dyDescent="0.2">
      <c r="A34" s="46">
        <v>39692</v>
      </c>
      <c r="B34" s="50">
        <v>86.6</v>
      </c>
      <c r="C34" s="51">
        <f t="shared" si="0"/>
        <v>-0.13052208835341361</v>
      </c>
      <c r="D34" s="52">
        <v>7.0000000000000007E-2</v>
      </c>
      <c r="E34" s="52">
        <v>-0.03</v>
      </c>
      <c r="F34" s="26" t="s">
        <v>65</v>
      </c>
    </row>
    <row r="35" spans="1:6" ht="16" x14ac:dyDescent="0.2">
      <c r="A35" s="46">
        <v>39722</v>
      </c>
      <c r="B35" s="50">
        <v>83.7</v>
      </c>
      <c r="C35" s="51">
        <f t="shared" si="0"/>
        <v>-0.15454545454545454</v>
      </c>
      <c r="D35" s="52">
        <v>7.0000000000000007E-2</v>
      </c>
      <c r="E35" s="52">
        <v>-0.03</v>
      </c>
      <c r="F35" s="26" t="s">
        <v>65</v>
      </c>
    </row>
    <row r="36" spans="1:6" ht="16" x14ac:dyDescent="0.2">
      <c r="A36" s="46">
        <v>39753</v>
      </c>
      <c r="B36" s="50">
        <v>81.5</v>
      </c>
      <c r="C36" s="51">
        <f t="shared" si="0"/>
        <v>-0.16921508664627927</v>
      </c>
      <c r="D36" s="52">
        <v>7.0000000000000007E-2</v>
      </c>
      <c r="E36" s="52">
        <v>-0.03</v>
      </c>
      <c r="F36" s="26" t="s">
        <v>65</v>
      </c>
    </row>
    <row r="37" spans="1:6" ht="16" x14ac:dyDescent="0.2">
      <c r="A37" s="46">
        <v>39783</v>
      </c>
      <c r="B37" s="50">
        <v>79.2</v>
      </c>
      <c r="C37" s="51">
        <f t="shared" si="0"/>
        <v>-0.18518518518518523</v>
      </c>
      <c r="D37" s="52">
        <v>7.0000000000000007E-2</v>
      </c>
      <c r="E37" s="52">
        <v>-0.03</v>
      </c>
      <c r="F37" s="26" t="s">
        <v>65</v>
      </c>
    </row>
    <row r="38" spans="1:6" ht="16" x14ac:dyDescent="0.2">
      <c r="A38" s="46">
        <v>39814</v>
      </c>
      <c r="B38" s="50">
        <v>77.7</v>
      </c>
      <c r="C38" s="51">
        <f t="shared" si="0"/>
        <v>-0.19062499999999993</v>
      </c>
      <c r="D38" s="52">
        <v>7.0000000000000007E-2</v>
      </c>
      <c r="E38" s="52">
        <v>-0.03</v>
      </c>
      <c r="F38" s="26" t="s">
        <v>65</v>
      </c>
    </row>
    <row r="39" spans="1:6" ht="16" x14ac:dyDescent="0.2">
      <c r="A39" s="46">
        <v>39845</v>
      </c>
      <c r="B39" s="50">
        <v>76.7</v>
      </c>
      <c r="C39" s="51">
        <f t="shared" si="0"/>
        <v>-0.19092827004219404</v>
      </c>
      <c r="D39" s="52">
        <v>7.0000000000000007E-2</v>
      </c>
      <c r="E39" s="52">
        <v>-0.03</v>
      </c>
      <c r="F39" s="26" t="s">
        <v>65</v>
      </c>
    </row>
    <row r="40" spans="1:6" ht="16" x14ac:dyDescent="0.2">
      <c r="A40" s="46">
        <v>39873</v>
      </c>
      <c r="B40" s="50">
        <v>75.400000000000006</v>
      </c>
      <c r="C40" s="51">
        <f t="shared" si="0"/>
        <v>-0.19271948608137046</v>
      </c>
      <c r="D40" s="52">
        <v>7.0000000000000007E-2</v>
      </c>
      <c r="E40" s="52">
        <v>-0.03</v>
      </c>
      <c r="F40" s="26" t="s">
        <v>65</v>
      </c>
    </row>
    <row r="41" spans="1:6" ht="16" x14ac:dyDescent="0.2">
      <c r="A41" s="46">
        <v>39904</v>
      </c>
      <c r="B41" s="50">
        <v>75.5</v>
      </c>
      <c r="C41" s="51">
        <f t="shared" si="0"/>
        <v>-0.18642241379310343</v>
      </c>
      <c r="D41" s="52">
        <v>7.0000000000000007E-2</v>
      </c>
      <c r="E41" s="52">
        <v>-0.03</v>
      </c>
      <c r="F41" s="26" t="s">
        <v>67</v>
      </c>
    </row>
    <row r="42" spans="1:6" ht="16" x14ac:dyDescent="0.2">
      <c r="A42" s="46">
        <v>39934</v>
      </c>
      <c r="B42" s="50">
        <v>75.900000000000006</v>
      </c>
      <c r="C42" s="51">
        <f t="shared" si="0"/>
        <v>-0.17410228509249182</v>
      </c>
      <c r="D42" s="52">
        <v>7.0000000000000007E-2</v>
      </c>
      <c r="E42" s="52">
        <v>-0.03</v>
      </c>
      <c r="F42" s="26" t="s">
        <v>67</v>
      </c>
    </row>
    <row r="43" spans="1:6" ht="16" x14ac:dyDescent="0.2">
      <c r="A43" s="46">
        <v>39965</v>
      </c>
      <c r="B43" s="50">
        <v>76.400000000000006</v>
      </c>
      <c r="C43" s="51">
        <f t="shared" si="0"/>
        <v>-0.16502732240437157</v>
      </c>
      <c r="D43" s="52">
        <v>7.0000000000000007E-2</v>
      </c>
      <c r="E43" s="52">
        <v>-0.03</v>
      </c>
      <c r="F43" s="26" t="s">
        <v>67</v>
      </c>
    </row>
    <row r="44" spans="1:6" ht="16" x14ac:dyDescent="0.2">
      <c r="A44" s="46">
        <v>39995</v>
      </c>
      <c r="B44" s="50">
        <v>76.8</v>
      </c>
      <c r="C44" s="51">
        <f t="shared" si="0"/>
        <v>-0.14093959731543637</v>
      </c>
      <c r="D44" s="52">
        <v>7.0000000000000007E-2</v>
      </c>
      <c r="E44" s="52">
        <v>-0.03</v>
      </c>
      <c r="F44" s="26" t="s">
        <v>67</v>
      </c>
    </row>
    <row r="45" spans="1:6" ht="16" x14ac:dyDescent="0.2">
      <c r="A45" s="46">
        <v>40026</v>
      </c>
      <c r="B45" s="50">
        <v>77.5</v>
      </c>
      <c r="C45" s="51">
        <f t="shared" si="0"/>
        <v>-0.12231030577576441</v>
      </c>
      <c r="D45" s="52">
        <v>7.0000000000000007E-2</v>
      </c>
      <c r="E45" s="52">
        <v>-0.03</v>
      </c>
      <c r="F45" s="26" t="s">
        <v>67</v>
      </c>
    </row>
    <row r="46" spans="1:6" ht="16" x14ac:dyDescent="0.2">
      <c r="A46" s="46">
        <v>40057</v>
      </c>
      <c r="B46" s="50">
        <v>78.2</v>
      </c>
      <c r="C46" s="51">
        <f t="shared" si="0"/>
        <v>-9.6997690531177683E-2</v>
      </c>
      <c r="D46" s="52">
        <v>7.0000000000000007E-2</v>
      </c>
      <c r="E46" s="52">
        <v>-0.03</v>
      </c>
      <c r="F46" s="26" t="s">
        <v>67</v>
      </c>
    </row>
    <row r="47" spans="1:6" ht="16" x14ac:dyDescent="0.2">
      <c r="A47" s="46">
        <v>40087</v>
      </c>
      <c r="B47" s="50">
        <v>78.5</v>
      </c>
      <c r="C47" s="51">
        <f t="shared" si="0"/>
        <v>-6.212664277180413E-2</v>
      </c>
      <c r="D47" s="52">
        <v>7.0000000000000007E-2</v>
      </c>
      <c r="E47" s="52">
        <v>-0.03</v>
      </c>
      <c r="F47" s="26" t="s">
        <v>67</v>
      </c>
    </row>
    <row r="48" spans="1:6" ht="16" x14ac:dyDescent="0.2">
      <c r="A48" s="46">
        <v>40118</v>
      </c>
      <c r="B48" s="50">
        <v>79.3</v>
      </c>
      <c r="C48" s="51">
        <f t="shared" si="0"/>
        <v>-2.6993865030674913E-2</v>
      </c>
      <c r="D48" s="52">
        <v>7.0000000000000007E-2</v>
      </c>
      <c r="E48" s="52">
        <v>-0.03</v>
      </c>
      <c r="F48" s="26" t="s">
        <v>67</v>
      </c>
    </row>
    <row r="49" spans="1:6" ht="16" x14ac:dyDescent="0.2">
      <c r="A49" s="46">
        <v>40148</v>
      </c>
      <c r="B49" s="50">
        <v>80.099999999999994</v>
      </c>
      <c r="C49" s="51">
        <f t="shared" si="0"/>
        <v>1.1363636363636243E-2</v>
      </c>
      <c r="D49" s="52">
        <v>7.0000000000000007E-2</v>
      </c>
      <c r="E49" s="52">
        <v>-0.03</v>
      </c>
      <c r="F49" s="26" t="s">
        <v>67</v>
      </c>
    </row>
    <row r="50" spans="1:6" ht="16" x14ac:dyDescent="0.2">
      <c r="A50" s="46">
        <v>40179</v>
      </c>
      <c r="B50" s="50">
        <v>80.599999999999994</v>
      </c>
      <c r="C50" s="51">
        <f t="shared" si="0"/>
        <v>3.7323037323037322E-2</v>
      </c>
      <c r="D50" s="52">
        <v>7.0000000000000007E-2</v>
      </c>
      <c r="E50" s="52">
        <v>-0.03</v>
      </c>
      <c r="F50" s="26" t="s">
        <v>68</v>
      </c>
    </row>
    <row r="51" spans="1:6" ht="16" x14ac:dyDescent="0.2">
      <c r="A51" s="46">
        <v>40210</v>
      </c>
      <c r="B51" s="50">
        <v>80.599999999999994</v>
      </c>
      <c r="C51" s="51">
        <f t="shared" si="0"/>
        <v>5.0847457627118509E-2</v>
      </c>
      <c r="D51" s="52">
        <v>7.0000000000000007E-2</v>
      </c>
      <c r="E51" s="52">
        <v>-0.03</v>
      </c>
      <c r="F51" s="26" t="s">
        <v>68</v>
      </c>
    </row>
    <row r="52" spans="1:6" ht="16" x14ac:dyDescent="0.2">
      <c r="A52" s="46">
        <v>40238</v>
      </c>
      <c r="B52" s="50">
        <v>82</v>
      </c>
      <c r="C52" s="51">
        <f t="shared" si="0"/>
        <v>8.7533156498673659E-2</v>
      </c>
      <c r="D52" s="52">
        <v>7.0000000000000007E-2</v>
      </c>
      <c r="E52" s="52">
        <v>-0.03</v>
      </c>
      <c r="F52" s="26" t="s">
        <v>68</v>
      </c>
    </row>
    <row r="53" spans="1:6" ht="16" x14ac:dyDescent="0.2">
      <c r="A53" s="46">
        <v>40269</v>
      </c>
      <c r="B53" s="50">
        <v>82.3</v>
      </c>
      <c r="C53" s="51">
        <f t="shared" si="0"/>
        <v>9.0066225165562841E-2</v>
      </c>
      <c r="D53" s="52">
        <v>7.0000000000000007E-2</v>
      </c>
      <c r="E53" s="52">
        <v>-0.03</v>
      </c>
      <c r="F53" s="26" t="s">
        <v>68</v>
      </c>
    </row>
    <row r="54" spans="1:6" ht="16" x14ac:dyDescent="0.2">
      <c r="A54" s="46">
        <v>40299</v>
      </c>
      <c r="B54" s="50">
        <v>82.6</v>
      </c>
      <c r="C54" s="51">
        <f t="shared" si="0"/>
        <v>8.8274044795783713E-2</v>
      </c>
      <c r="D54" s="52">
        <v>7.0000000000000007E-2</v>
      </c>
      <c r="E54" s="52">
        <v>-0.03</v>
      </c>
      <c r="F54" s="26" t="s">
        <v>68</v>
      </c>
    </row>
    <row r="55" spans="1:6" ht="16" x14ac:dyDescent="0.2">
      <c r="A55" s="46">
        <v>40330</v>
      </c>
      <c r="B55" s="50">
        <v>82.7</v>
      </c>
      <c r="C55" s="51">
        <f t="shared" si="0"/>
        <v>8.2460732984293239E-2</v>
      </c>
      <c r="D55" s="52">
        <v>7.0000000000000007E-2</v>
      </c>
      <c r="E55" s="52">
        <v>-0.03</v>
      </c>
      <c r="F55" s="26" t="s">
        <v>68</v>
      </c>
    </row>
    <row r="56" spans="1:6" ht="16" x14ac:dyDescent="0.2">
      <c r="A56" s="46">
        <v>40360</v>
      </c>
      <c r="B56" s="50">
        <v>82.7</v>
      </c>
      <c r="C56" s="51">
        <f t="shared" si="0"/>
        <v>7.6822916666666741E-2</v>
      </c>
      <c r="D56" s="52">
        <v>7.0000000000000007E-2</v>
      </c>
      <c r="E56" s="52">
        <v>-0.03</v>
      </c>
      <c r="F56" s="26" t="s">
        <v>68</v>
      </c>
    </row>
    <row r="57" spans="1:6" ht="16" x14ac:dyDescent="0.2">
      <c r="A57" s="46">
        <v>40391</v>
      </c>
      <c r="B57" s="50">
        <v>83</v>
      </c>
      <c r="C57" s="51">
        <f t="shared" si="0"/>
        <v>7.0967741935483941E-2</v>
      </c>
      <c r="D57" s="52">
        <v>7.0000000000000007E-2</v>
      </c>
      <c r="E57" s="52">
        <v>-0.03</v>
      </c>
      <c r="F57" s="26" t="s">
        <v>68</v>
      </c>
    </row>
    <row r="58" spans="1:6" ht="16" x14ac:dyDescent="0.2">
      <c r="A58" s="46">
        <v>40422</v>
      </c>
      <c r="B58" s="50">
        <v>83.4</v>
      </c>
      <c r="C58" s="51">
        <f t="shared" si="0"/>
        <v>6.6496163682864484E-2</v>
      </c>
      <c r="D58" s="52">
        <v>7.0000000000000007E-2</v>
      </c>
      <c r="E58" s="52">
        <v>-0.03</v>
      </c>
      <c r="F58" s="26" t="s">
        <v>69</v>
      </c>
    </row>
    <row r="59" spans="1:6" ht="16" x14ac:dyDescent="0.2">
      <c r="A59" s="46">
        <v>40452</v>
      </c>
      <c r="B59" s="50">
        <v>83.3</v>
      </c>
      <c r="C59" s="51">
        <f t="shared" si="0"/>
        <v>6.1146496815286611E-2</v>
      </c>
      <c r="D59" s="52">
        <v>7.0000000000000007E-2</v>
      </c>
      <c r="E59" s="52">
        <v>-0.03</v>
      </c>
      <c r="F59" s="26" t="s">
        <v>69</v>
      </c>
    </row>
    <row r="60" spans="1:6" ht="16" x14ac:dyDescent="0.2">
      <c r="A60" s="46">
        <v>40483</v>
      </c>
      <c r="B60" s="50">
        <v>84.1</v>
      </c>
      <c r="C60" s="51">
        <f t="shared" si="0"/>
        <v>6.0529634300126034E-2</v>
      </c>
      <c r="D60" s="52">
        <v>7.0000000000000007E-2</v>
      </c>
      <c r="E60" s="52">
        <v>-0.03</v>
      </c>
      <c r="F60" s="26" t="s">
        <v>69</v>
      </c>
    </row>
    <row r="61" spans="1:6" ht="16" x14ac:dyDescent="0.2">
      <c r="A61" s="46">
        <v>40513</v>
      </c>
      <c r="B61" s="50">
        <v>85</v>
      </c>
      <c r="C61" s="51">
        <f t="shared" si="0"/>
        <v>6.1173533083645593E-2</v>
      </c>
      <c r="D61" s="52">
        <v>7.0000000000000007E-2</v>
      </c>
      <c r="E61" s="52">
        <v>-0.03</v>
      </c>
      <c r="F61" s="26" t="s">
        <v>69</v>
      </c>
    </row>
    <row r="62" spans="1:6" ht="16" x14ac:dyDescent="0.2">
      <c r="A62" s="46">
        <v>40544</v>
      </c>
      <c r="B62" s="50">
        <v>85.2</v>
      </c>
      <c r="C62" s="51">
        <f t="shared" si="0"/>
        <v>5.7071960297766955E-2</v>
      </c>
      <c r="D62" s="52">
        <v>7.0000000000000007E-2</v>
      </c>
      <c r="E62" s="52">
        <v>-0.03</v>
      </c>
      <c r="F62" s="26" t="s">
        <v>69</v>
      </c>
    </row>
    <row r="63" spans="1:6" ht="16" x14ac:dyDescent="0.2">
      <c r="A63" s="46">
        <v>40575</v>
      </c>
      <c r="B63" s="50">
        <v>85.8</v>
      </c>
      <c r="C63" s="51">
        <f t="shared" si="0"/>
        <v>6.4516129032258007E-2</v>
      </c>
      <c r="D63" s="52">
        <v>7.0000000000000007E-2</v>
      </c>
      <c r="E63" s="52">
        <v>-0.03</v>
      </c>
      <c r="F63" s="26" t="s">
        <v>69</v>
      </c>
    </row>
    <row r="64" spans="1:6" ht="16" x14ac:dyDescent="0.2">
      <c r="A64" s="46">
        <v>40603</v>
      </c>
      <c r="B64" s="50">
        <v>86.7</v>
      </c>
      <c r="C64" s="51">
        <f t="shared" si="0"/>
        <v>5.7317073170731758E-2</v>
      </c>
      <c r="D64" s="52">
        <v>7.0000000000000007E-2</v>
      </c>
      <c r="E64" s="52">
        <v>-0.03</v>
      </c>
      <c r="F64" s="26" t="s">
        <v>69</v>
      </c>
    </row>
    <row r="65" spans="1:6" ht="16" x14ac:dyDescent="0.2">
      <c r="A65" s="46">
        <v>40634</v>
      </c>
      <c r="B65" s="50">
        <v>86.7</v>
      </c>
      <c r="C65" s="51">
        <f t="shared" si="0"/>
        <v>5.3462940461725506E-2</v>
      </c>
      <c r="D65" s="52">
        <v>7.0000000000000007E-2</v>
      </c>
      <c r="E65" s="52">
        <v>-0.03</v>
      </c>
      <c r="F65" s="26" t="s">
        <v>69</v>
      </c>
    </row>
    <row r="66" spans="1:6" ht="16" x14ac:dyDescent="0.2">
      <c r="A66" s="46">
        <v>40664</v>
      </c>
      <c r="B66" s="50">
        <v>87.4</v>
      </c>
      <c r="C66" s="51">
        <f t="shared" si="0"/>
        <v>5.8111380145278613E-2</v>
      </c>
      <c r="D66" s="52">
        <v>7.0000000000000007E-2</v>
      </c>
      <c r="E66" s="52">
        <v>-0.03</v>
      </c>
      <c r="F66" s="26" t="s">
        <v>69</v>
      </c>
    </row>
    <row r="67" spans="1:6" ht="16" x14ac:dyDescent="0.2">
      <c r="A67" s="46">
        <v>40695</v>
      </c>
      <c r="B67" s="50">
        <v>87.4</v>
      </c>
      <c r="C67" s="51">
        <f t="shared" si="0"/>
        <v>5.6831922611850105E-2</v>
      </c>
      <c r="D67" s="52">
        <v>7.0000000000000007E-2</v>
      </c>
      <c r="E67" s="52">
        <v>-0.03</v>
      </c>
      <c r="F67" s="26" t="s">
        <v>69</v>
      </c>
    </row>
    <row r="68" spans="1:6" ht="16" x14ac:dyDescent="0.2">
      <c r="A68" s="46">
        <v>40725</v>
      </c>
      <c r="B68" s="50">
        <v>87.8</v>
      </c>
      <c r="C68" s="51">
        <f t="shared" si="0"/>
        <v>6.1668681983071183E-2</v>
      </c>
      <c r="D68" s="52">
        <v>7.0000000000000007E-2</v>
      </c>
      <c r="E68" s="52">
        <v>-0.03</v>
      </c>
      <c r="F68" s="26" t="s">
        <v>69</v>
      </c>
    </row>
    <row r="69" spans="1:6" ht="16" x14ac:dyDescent="0.2">
      <c r="A69" s="46">
        <v>40756</v>
      </c>
      <c r="B69" s="50">
        <v>87.2</v>
      </c>
      <c r="C69" s="51">
        <f t="shared" si="0"/>
        <v>5.0602409638554224E-2</v>
      </c>
      <c r="D69" s="52">
        <v>7.0000000000000007E-2</v>
      </c>
      <c r="E69" s="52">
        <v>-0.03</v>
      </c>
      <c r="F69" s="26" t="s">
        <v>69</v>
      </c>
    </row>
    <row r="70" spans="1:6" ht="16" x14ac:dyDescent="0.2">
      <c r="A70" s="46">
        <v>40787</v>
      </c>
      <c r="B70" s="50">
        <v>86.7</v>
      </c>
      <c r="C70" s="51">
        <f t="shared" si="0"/>
        <v>3.9568345323740983E-2</v>
      </c>
      <c r="D70" s="52">
        <v>7.0000000000000007E-2</v>
      </c>
      <c r="E70" s="52">
        <v>-0.03</v>
      </c>
      <c r="F70" s="26" t="s">
        <v>69</v>
      </c>
    </row>
    <row r="71" spans="1:6" ht="16" x14ac:dyDescent="0.2">
      <c r="A71" s="46">
        <v>40817</v>
      </c>
      <c r="B71" s="50">
        <v>87.2</v>
      </c>
      <c r="C71" s="51">
        <f t="shared" si="0"/>
        <v>4.6818727490996359E-2</v>
      </c>
      <c r="D71" s="52">
        <v>7.0000000000000007E-2</v>
      </c>
      <c r="E71" s="52">
        <v>-0.03</v>
      </c>
      <c r="F71" s="26" t="s">
        <v>69</v>
      </c>
    </row>
    <row r="72" spans="1:6" ht="16" x14ac:dyDescent="0.2">
      <c r="A72" s="46">
        <v>40848</v>
      </c>
      <c r="B72" s="50">
        <v>87.2</v>
      </c>
      <c r="C72" s="51">
        <f t="shared" si="0"/>
        <v>3.6860879904875299E-2</v>
      </c>
      <c r="D72" s="52">
        <v>7.0000000000000007E-2</v>
      </c>
      <c r="E72" s="52">
        <v>-0.03</v>
      </c>
      <c r="F72" s="26" t="s">
        <v>69</v>
      </c>
    </row>
    <row r="73" spans="1:6" ht="16" x14ac:dyDescent="0.2">
      <c r="A73" s="46">
        <v>40878</v>
      </c>
      <c r="B73" s="50">
        <v>87.7</v>
      </c>
      <c r="C73" s="51">
        <f t="shared" si="0"/>
        <v>3.1764705882352917E-2</v>
      </c>
      <c r="D73" s="52">
        <v>7.0000000000000007E-2</v>
      </c>
      <c r="E73" s="52">
        <v>-0.03</v>
      </c>
      <c r="F73" s="26" t="s">
        <v>69</v>
      </c>
    </row>
    <row r="74" spans="1:6" ht="16" x14ac:dyDescent="0.2">
      <c r="A74" s="46">
        <v>40909</v>
      </c>
      <c r="B74" s="50">
        <v>88</v>
      </c>
      <c r="C74" s="51">
        <f t="shared" si="0"/>
        <v>3.2863849765258246E-2</v>
      </c>
      <c r="D74" s="52">
        <v>7.0000000000000007E-2</v>
      </c>
      <c r="E74" s="52">
        <v>-0.03</v>
      </c>
      <c r="F74" s="26" t="s">
        <v>69</v>
      </c>
    </row>
    <row r="75" spans="1:6" ht="16" x14ac:dyDescent="0.2">
      <c r="A75" s="46">
        <v>40940</v>
      </c>
      <c r="B75" s="50">
        <v>88.6</v>
      </c>
      <c r="C75" s="51">
        <f t="shared" si="0"/>
        <v>3.2634032634032639E-2</v>
      </c>
      <c r="D75" s="52">
        <v>7.0000000000000007E-2</v>
      </c>
      <c r="E75" s="52">
        <v>-0.03</v>
      </c>
      <c r="F75" s="26" t="s">
        <v>69</v>
      </c>
    </row>
    <row r="76" spans="1:6" ht="16" x14ac:dyDescent="0.2">
      <c r="A76" s="46">
        <v>40969</v>
      </c>
      <c r="B76" s="50">
        <v>89.1</v>
      </c>
      <c r="C76" s="51">
        <f t="shared" si="0"/>
        <v>2.7681660899653959E-2</v>
      </c>
      <c r="D76" s="52">
        <v>7.0000000000000007E-2</v>
      </c>
      <c r="E76" s="52">
        <v>-0.03</v>
      </c>
      <c r="F76" s="26" t="s">
        <v>69</v>
      </c>
    </row>
    <row r="77" spans="1:6" ht="16" x14ac:dyDescent="0.2">
      <c r="A77" s="46">
        <v>41000</v>
      </c>
      <c r="B77" s="50">
        <v>88.9</v>
      </c>
      <c r="C77" s="51">
        <f t="shared" si="0"/>
        <v>2.5374855824682907E-2</v>
      </c>
      <c r="D77" s="52">
        <v>7.0000000000000007E-2</v>
      </c>
      <c r="E77" s="52">
        <v>-0.03</v>
      </c>
      <c r="F77" s="26" t="s">
        <v>69</v>
      </c>
    </row>
    <row r="78" spans="1:6" ht="16" x14ac:dyDescent="0.2">
      <c r="A78" s="46">
        <v>41030</v>
      </c>
      <c r="B78" s="50">
        <v>89.1</v>
      </c>
      <c r="C78" s="51">
        <f t="shared" si="0"/>
        <v>1.9450800915331579E-2</v>
      </c>
      <c r="D78" s="52">
        <v>7.0000000000000007E-2</v>
      </c>
      <c r="E78" s="52">
        <v>-0.03</v>
      </c>
      <c r="F78" s="26" t="s">
        <v>69</v>
      </c>
    </row>
    <row r="79" spans="1:6" ht="16" x14ac:dyDescent="0.2">
      <c r="A79" s="46">
        <v>41061</v>
      </c>
      <c r="B79" s="50">
        <v>88.7</v>
      </c>
      <c r="C79" s="51">
        <f t="shared" si="0"/>
        <v>1.4874141876430214E-2</v>
      </c>
      <c r="D79" s="52">
        <v>7.0000000000000007E-2</v>
      </c>
      <c r="E79" s="52">
        <v>-0.03</v>
      </c>
      <c r="F79" s="26" t="s">
        <v>69</v>
      </c>
    </row>
    <row r="80" spans="1:6" ht="16" x14ac:dyDescent="0.2">
      <c r="A80" s="46">
        <v>41091</v>
      </c>
      <c r="B80" s="50">
        <v>88.8</v>
      </c>
      <c r="C80" s="51">
        <f t="shared" ref="C80:C143" si="1">B80/B68-1</f>
        <v>1.1389521640091216E-2</v>
      </c>
      <c r="D80" s="52">
        <v>7.0000000000000007E-2</v>
      </c>
      <c r="E80" s="52">
        <v>-0.03</v>
      </c>
      <c r="F80" s="26" t="s">
        <v>69</v>
      </c>
    </row>
    <row r="81" spans="1:6" ht="16" x14ac:dyDescent="0.2">
      <c r="A81" s="46">
        <v>41122</v>
      </c>
      <c r="B81" s="50">
        <v>88.5</v>
      </c>
      <c r="C81" s="51">
        <f t="shared" si="1"/>
        <v>1.4908256880733939E-2</v>
      </c>
      <c r="D81" s="52">
        <v>7.0000000000000007E-2</v>
      </c>
      <c r="E81" s="52">
        <v>-0.03</v>
      </c>
      <c r="F81" s="26" t="s">
        <v>69</v>
      </c>
    </row>
    <row r="82" spans="1:6" ht="16" x14ac:dyDescent="0.2">
      <c r="A82" s="46">
        <v>41153</v>
      </c>
      <c r="B82" s="50">
        <v>88.9</v>
      </c>
      <c r="C82" s="51">
        <f t="shared" si="1"/>
        <v>2.5374855824682907E-2</v>
      </c>
      <c r="D82" s="52">
        <v>7.0000000000000007E-2</v>
      </c>
      <c r="E82" s="52">
        <v>-0.03</v>
      </c>
      <c r="F82" s="26" t="s">
        <v>69</v>
      </c>
    </row>
    <row r="83" spans="1:6" ht="16" x14ac:dyDescent="0.2">
      <c r="A83" s="46">
        <v>41183</v>
      </c>
      <c r="B83" s="50">
        <v>89</v>
      </c>
      <c r="C83" s="51">
        <f t="shared" si="1"/>
        <v>2.0642201834862428E-2</v>
      </c>
      <c r="D83" s="52">
        <v>7.0000000000000007E-2</v>
      </c>
      <c r="E83" s="52">
        <v>-0.03</v>
      </c>
      <c r="F83" s="26" t="s">
        <v>69</v>
      </c>
    </row>
    <row r="84" spans="1:6" ht="16" x14ac:dyDescent="0.2">
      <c r="A84" s="46">
        <v>41214</v>
      </c>
      <c r="B84" s="50">
        <v>89</v>
      </c>
      <c r="C84" s="51">
        <f t="shared" si="1"/>
        <v>2.0642201834862428E-2</v>
      </c>
      <c r="D84" s="52">
        <v>7.0000000000000007E-2</v>
      </c>
      <c r="E84" s="52">
        <v>-0.03</v>
      </c>
      <c r="F84" s="26" t="s">
        <v>69</v>
      </c>
    </row>
    <row r="85" spans="1:6" ht="16" x14ac:dyDescent="0.2">
      <c r="A85" s="46">
        <v>41244</v>
      </c>
      <c r="B85" s="50">
        <v>89.1</v>
      </c>
      <c r="C85" s="51">
        <f t="shared" si="1"/>
        <v>1.5963511972633793E-2</v>
      </c>
      <c r="D85" s="52">
        <v>7.0000000000000007E-2</v>
      </c>
      <c r="E85" s="52">
        <v>-0.03</v>
      </c>
      <c r="F85" s="26" t="s">
        <v>69</v>
      </c>
    </row>
    <row r="86" spans="1:6" ht="16" x14ac:dyDescent="0.2">
      <c r="A86" s="46">
        <v>41275</v>
      </c>
      <c r="B86" s="50">
        <v>89.7</v>
      </c>
      <c r="C86" s="51">
        <f t="shared" si="1"/>
        <v>1.931818181818179E-2</v>
      </c>
      <c r="D86" s="52">
        <v>7.0000000000000007E-2</v>
      </c>
      <c r="E86" s="52">
        <v>-0.03</v>
      </c>
      <c r="F86" s="26" t="s">
        <v>69</v>
      </c>
    </row>
    <row r="87" spans="1:6" ht="16" x14ac:dyDescent="0.2">
      <c r="A87" s="46">
        <v>41306</v>
      </c>
      <c r="B87" s="50">
        <v>90</v>
      </c>
      <c r="C87" s="51">
        <f t="shared" si="1"/>
        <v>1.5801354401805856E-2</v>
      </c>
      <c r="D87" s="52">
        <v>7.0000000000000007E-2</v>
      </c>
      <c r="E87" s="52">
        <v>-0.03</v>
      </c>
      <c r="F87" s="26" t="s">
        <v>69</v>
      </c>
    </row>
    <row r="88" spans="1:6" ht="16" x14ac:dyDescent="0.2">
      <c r="A88" s="46">
        <v>41334</v>
      </c>
      <c r="B88" s="50">
        <v>89.8</v>
      </c>
      <c r="C88" s="51">
        <f t="shared" si="1"/>
        <v>7.8563411896745983E-3</v>
      </c>
      <c r="D88" s="52">
        <v>7.0000000000000007E-2</v>
      </c>
      <c r="E88" s="52">
        <v>-0.03</v>
      </c>
      <c r="F88" s="26" t="s">
        <v>69</v>
      </c>
    </row>
    <row r="89" spans="1:6" ht="16" x14ac:dyDescent="0.2">
      <c r="A89" s="46">
        <v>41365</v>
      </c>
      <c r="B89" s="50">
        <v>90.3</v>
      </c>
      <c r="C89" s="51">
        <f t="shared" si="1"/>
        <v>1.5748031496062964E-2</v>
      </c>
      <c r="D89" s="52">
        <v>7.0000000000000007E-2</v>
      </c>
      <c r="E89" s="52">
        <v>-0.03</v>
      </c>
      <c r="F89" s="26" t="s">
        <v>70</v>
      </c>
    </row>
    <row r="90" spans="1:6" ht="16" x14ac:dyDescent="0.2">
      <c r="A90" s="46">
        <v>41395</v>
      </c>
      <c r="B90" s="50">
        <v>90.6</v>
      </c>
      <c r="C90" s="51">
        <f t="shared" si="1"/>
        <v>1.6835016835016869E-2</v>
      </c>
      <c r="D90" s="52">
        <v>7.0000000000000007E-2</v>
      </c>
      <c r="E90" s="52">
        <v>-0.03</v>
      </c>
      <c r="F90" s="26" t="s">
        <v>70</v>
      </c>
    </row>
    <row r="91" spans="1:6" ht="16" x14ac:dyDescent="0.2">
      <c r="A91" s="46">
        <v>41426</v>
      </c>
      <c r="B91" s="50">
        <v>90.6</v>
      </c>
      <c r="C91" s="51">
        <f t="shared" si="1"/>
        <v>2.1420518602029315E-2</v>
      </c>
      <c r="D91" s="52">
        <v>7.0000000000000007E-2</v>
      </c>
      <c r="E91" s="52">
        <v>-0.03</v>
      </c>
      <c r="F91" s="26" t="s">
        <v>70</v>
      </c>
    </row>
    <row r="92" spans="1:6" ht="16" x14ac:dyDescent="0.2">
      <c r="A92" s="46">
        <v>41456</v>
      </c>
      <c r="B92" s="50">
        <v>90.9</v>
      </c>
      <c r="C92" s="51">
        <f t="shared" si="1"/>
        <v>2.3648648648648685E-2</v>
      </c>
      <c r="D92" s="52">
        <v>7.0000000000000007E-2</v>
      </c>
      <c r="E92" s="52">
        <v>-0.03</v>
      </c>
      <c r="F92" s="26" t="s">
        <v>70</v>
      </c>
    </row>
    <row r="93" spans="1:6" ht="16" x14ac:dyDescent="0.2">
      <c r="A93" s="46">
        <v>41487</v>
      </c>
      <c r="B93" s="50">
        <v>91.4</v>
      </c>
      <c r="C93" s="51">
        <f t="shared" si="1"/>
        <v>3.2768361581920979E-2</v>
      </c>
      <c r="D93" s="52">
        <v>7.0000000000000007E-2</v>
      </c>
      <c r="E93" s="52">
        <v>-0.03</v>
      </c>
      <c r="F93" s="26" t="s">
        <v>70</v>
      </c>
    </row>
    <row r="94" spans="1:6" ht="16" x14ac:dyDescent="0.2">
      <c r="A94" s="46">
        <v>41518</v>
      </c>
      <c r="B94" s="50">
        <v>92.1</v>
      </c>
      <c r="C94" s="51">
        <f t="shared" si="1"/>
        <v>3.5995500562429505E-2</v>
      </c>
      <c r="D94" s="52">
        <v>7.0000000000000007E-2</v>
      </c>
      <c r="E94" s="52">
        <v>-0.03</v>
      </c>
      <c r="F94" s="26" t="s">
        <v>70</v>
      </c>
    </row>
    <row r="95" spans="1:6" ht="16" x14ac:dyDescent="0.2">
      <c r="A95" s="46">
        <v>41548</v>
      </c>
      <c r="B95" s="50">
        <v>92.3</v>
      </c>
      <c r="C95" s="51">
        <f t="shared" si="1"/>
        <v>3.7078651685393149E-2</v>
      </c>
      <c r="D95" s="52">
        <v>7.0000000000000007E-2</v>
      </c>
      <c r="E95" s="52">
        <v>-0.03</v>
      </c>
      <c r="F95" s="26" t="s">
        <v>70</v>
      </c>
    </row>
    <row r="96" spans="1:6" ht="16" x14ac:dyDescent="0.2">
      <c r="A96" s="46">
        <v>41579</v>
      </c>
      <c r="B96" s="50">
        <v>93</v>
      </c>
      <c r="C96" s="51">
        <f t="shared" si="1"/>
        <v>4.4943820224719211E-2</v>
      </c>
      <c r="D96" s="52">
        <v>7.0000000000000007E-2</v>
      </c>
      <c r="E96" s="52">
        <v>-0.03</v>
      </c>
      <c r="F96" s="26" t="s">
        <v>70</v>
      </c>
    </row>
    <row r="97" spans="1:6" ht="16" x14ac:dyDescent="0.2">
      <c r="A97" s="46">
        <v>41609</v>
      </c>
      <c r="B97" s="50">
        <v>93.2</v>
      </c>
      <c r="C97" s="51">
        <f t="shared" si="1"/>
        <v>4.6015712682379473E-2</v>
      </c>
      <c r="D97" s="52">
        <v>7.0000000000000007E-2</v>
      </c>
      <c r="E97" s="52">
        <v>-0.03</v>
      </c>
      <c r="F97" s="26" t="s">
        <v>70</v>
      </c>
    </row>
    <row r="98" spans="1:6" ht="16" x14ac:dyDescent="0.2">
      <c r="A98" s="46">
        <v>41640</v>
      </c>
      <c r="B98" s="50">
        <v>93.3</v>
      </c>
      <c r="C98" s="51">
        <f t="shared" si="1"/>
        <v>4.013377926421402E-2</v>
      </c>
      <c r="D98" s="52">
        <v>7.0000000000000007E-2</v>
      </c>
      <c r="E98" s="52">
        <v>-0.03</v>
      </c>
      <c r="F98" s="26" t="s">
        <v>70</v>
      </c>
    </row>
    <row r="99" spans="1:6" ht="16" x14ac:dyDescent="0.2">
      <c r="A99" s="46">
        <v>41671</v>
      </c>
      <c r="B99" s="50">
        <v>94</v>
      </c>
      <c r="C99" s="51">
        <f t="shared" si="1"/>
        <v>4.4444444444444509E-2</v>
      </c>
      <c r="D99" s="52">
        <v>7.0000000000000007E-2</v>
      </c>
      <c r="E99" s="52">
        <v>-0.03</v>
      </c>
      <c r="F99" s="26" t="s">
        <v>70</v>
      </c>
    </row>
    <row r="100" spans="1:6" ht="16" x14ac:dyDescent="0.2">
      <c r="A100" s="46">
        <v>41699</v>
      </c>
      <c r="B100" s="50">
        <v>94.9</v>
      </c>
      <c r="C100" s="51">
        <f t="shared" si="1"/>
        <v>5.6792873051225046E-2</v>
      </c>
      <c r="D100" s="52">
        <v>7.0000000000000007E-2</v>
      </c>
      <c r="E100" s="52">
        <v>-0.03</v>
      </c>
      <c r="F100" s="26" t="s">
        <v>70</v>
      </c>
    </row>
    <row r="101" spans="1:6" ht="16" x14ac:dyDescent="0.2">
      <c r="A101" s="46">
        <v>41730</v>
      </c>
      <c r="B101" s="50">
        <v>95</v>
      </c>
      <c r="C101" s="51">
        <f t="shared" si="1"/>
        <v>5.2048726467331052E-2</v>
      </c>
      <c r="D101" s="52">
        <v>7.0000000000000007E-2</v>
      </c>
      <c r="E101" s="52">
        <v>-0.03</v>
      </c>
      <c r="F101" s="26" t="s">
        <v>70</v>
      </c>
    </row>
    <row r="102" spans="1:6" ht="16" x14ac:dyDescent="0.2">
      <c r="A102" s="46">
        <v>41760</v>
      </c>
      <c r="B102" s="50">
        <v>95.4</v>
      </c>
      <c r="C102" s="51">
        <f t="shared" si="1"/>
        <v>5.2980132450331174E-2</v>
      </c>
      <c r="D102" s="52">
        <v>7.0000000000000007E-2</v>
      </c>
      <c r="E102" s="52">
        <v>-0.03</v>
      </c>
      <c r="F102" s="26" t="s">
        <v>70</v>
      </c>
    </row>
    <row r="103" spans="1:6" ht="16" x14ac:dyDescent="0.2">
      <c r="A103" s="46">
        <v>41791</v>
      </c>
      <c r="B103" s="50">
        <v>96.2</v>
      </c>
      <c r="C103" s="51">
        <f t="shared" si="1"/>
        <v>6.1810154525386407E-2</v>
      </c>
      <c r="D103" s="52">
        <v>7.0000000000000007E-2</v>
      </c>
      <c r="E103" s="52">
        <v>-0.03</v>
      </c>
      <c r="F103" s="26" t="s">
        <v>70</v>
      </c>
    </row>
    <row r="104" spans="1:6" ht="16" x14ac:dyDescent="0.2">
      <c r="A104" s="46">
        <v>41821</v>
      </c>
      <c r="B104" s="50">
        <v>96.7</v>
      </c>
      <c r="C104" s="51">
        <f t="shared" si="1"/>
        <v>6.3806380638063764E-2</v>
      </c>
      <c r="D104" s="52">
        <v>7.0000000000000007E-2</v>
      </c>
      <c r="E104" s="52">
        <v>-0.03</v>
      </c>
      <c r="F104" s="26" t="s">
        <v>70</v>
      </c>
    </row>
    <row r="105" spans="1:6" ht="16" x14ac:dyDescent="0.2">
      <c r="A105" s="46">
        <v>41852</v>
      </c>
      <c r="B105" s="50">
        <v>96.8</v>
      </c>
      <c r="C105" s="51">
        <f t="shared" si="1"/>
        <v>5.908096280087527E-2</v>
      </c>
      <c r="D105" s="52">
        <v>7.0000000000000007E-2</v>
      </c>
      <c r="E105" s="52">
        <v>-0.03</v>
      </c>
      <c r="F105" s="26" t="s">
        <v>69</v>
      </c>
    </row>
    <row r="106" spans="1:6" ht="16" x14ac:dyDescent="0.2">
      <c r="A106" s="46">
        <v>41883</v>
      </c>
      <c r="B106" s="50">
        <v>97.5</v>
      </c>
      <c r="C106" s="51">
        <f t="shared" si="1"/>
        <v>5.8631921824104261E-2</v>
      </c>
      <c r="D106" s="52">
        <v>7.0000000000000007E-2</v>
      </c>
      <c r="E106" s="52">
        <v>-0.03</v>
      </c>
      <c r="F106" s="26" t="s">
        <v>69</v>
      </c>
    </row>
    <row r="107" spans="1:6" ht="16" x14ac:dyDescent="0.2">
      <c r="A107" s="46">
        <v>41913</v>
      </c>
      <c r="B107" s="50">
        <v>97.6</v>
      </c>
      <c r="C107" s="51">
        <f t="shared" si="1"/>
        <v>5.7421451787649014E-2</v>
      </c>
      <c r="D107" s="52">
        <v>7.0000000000000007E-2</v>
      </c>
      <c r="E107" s="52">
        <v>-0.03</v>
      </c>
      <c r="F107" s="26" t="s">
        <v>69</v>
      </c>
    </row>
    <row r="108" spans="1:6" ht="16" x14ac:dyDescent="0.2">
      <c r="A108" s="46">
        <v>41944</v>
      </c>
      <c r="B108" s="50">
        <v>97.9</v>
      </c>
      <c r="C108" s="51">
        <f t="shared" si="1"/>
        <v>5.2688172043010795E-2</v>
      </c>
      <c r="D108" s="52">
        <v>7.0000000000000007E-2</v>
      </c>
      <c r="E108" s="52">
        <v>-0.03</v>
      </c>
      <c r="F108" s="26" t="s">
        <v>69</v>
      </c>
    </row>
    <row r="109" spans="1:6" ht="16" x14ac:dyDescent="0.2">
      <c r="A109" s="46">
        <v>41974</v>
      </c>
      <c r="B109" s="50">
        <v>98.6</v>
      </c>
      <c r="C109" s="51">
        <f t="shared" si="1"/>
        <v>5.7939914163090078E-2</v>
      </c>
      <c r="D109" s="52">
        <v>7.0000000000000007E-2</v>
      </c>
      <c r="E109" s="52">
        <v>-0.03</v>
      </c>
      <c r="F109" s="26" t="s">
        <v>69</v>
      </c>
    </row>
    <row r="110" spans="1:6" ht="16" x14ac:dyDescent="0.2">
      <c r="A110" s="46">
        <v>42005</v>
      </c>
      <c r="B110" s="50">
        <v>98.5</v>
      </c>
      <c r="C110" s="51">
        <f t="shared" si="1"/>
        <v>5.5734190782422255E-2</v>
      </c>
      <c r="D110" s="52">
        <v>7.0000000000000007E-2</v>
      </c>
      <c r="E110" s="52">
        <v>-0.03</v>
      </c>
      <c r="F110" s="26" t="s">
        <v>69</v>
      </c>
    </row>
    <row r="111" spans="1:6" ht="16" x14ac:dyDescent="0.2">
      <c r="A111" s="46">
        <v>42036</v>
      </c>
      <c r="B111" s="50">
        <v>98.8</v>
      </c>
      <c r="C111" s="51">
        <f t="shared" si="1"/>
        <v>5.1063829787234116E-2</v>
      </c>
      <c r="D111" s="52">
        <v>7.0000000000000007E-2</v>
      </c>
      <c r="E111" s="52">
        <v>-0.03</v>
      </c>
      <c r="F111" s="26" t="s">
        <v>69</v>
      </c>
    </row>
    <row r="112" spans="1:6" ht="16" x14ac:dyDescent="0.2">
      <c r="A112" s="46">
        <v>42064</v>
      </c>
      <c r="B112" s="50">
        <v>99</v>
      </c>
      <c r="C112" s="51">
        <f t="shared" si="1"/>
        <v>4.3203371970495175E-2</v>
      </c>
      <c r="D112" s="52">
        <v>7.0000000000000007E-2</v>
      </c>
      <c r="E112" s="52">
        <v>-0.03</v>
      </c>
      <c r="F112" s="26" t="s">
        <v>69</v>
      </c>
    </row>
    <row r="113" spans="1:6" ht="16" x14ac:dyDescent="0.2">
      <c r="A113" s="46">
        <v>42095</v>
      </c>
      <c r="B113" s="50">
        <v>99.4</v>
      </c>
      <c r="C113" s="51">
        <f t="shared" si="1"/>
        <v>4.631578947368431E-2</v>
      </c>
      <c r="D113" s="52">
        <v>7.0000000000000007E-2</v>
      </c>
      <c r="E113" s="52">
        <v>-0.03</v>
      </c>
      <c r="F113" s="26" t="s">
        <v>69</v>
      </c>
    </row>
    <row r="114" spans="1:6" ht="16" x14ac:dyDescent="0.2">
      <c r="A114" s="46">
        <v>42125</v>
      </c>
      <c r="B114" s="50">
        <v>99.7</v>
      </c>
      <c r="C114" s="51">
        <f t="shared" si="1"/>
        <v>4.507337526205446E-2</v>
      </c>
      <c r="D114" s="52">
        <v>7.0000000000000007E-2</v>
      </c>
      <c r="E114" s="52">
        <v>-0.03</v>
      </c>
      <c r="F114" s="26" t="s">
        <v>69</v>
      </c>
    </row>
    <row r="115" spans="1:6" ht="16" x14ac:dyDescent="0.2">
      <c r="A115" s="46">
        <v>42156</v>
      </c>
      <c r="B115" s="50">
        <v>100.3</v>
      </c>
      <c r="C115" s="51">
        <f t="shared" si="1"/>
        <v>4.2619542619542594E-2</v>
      </c>
      <c r="D115" s="52">
        <v>7.0000000000000007E-2</v>
      </c>
      <c r="E115" s="52">
        <v>-0.03</v>
      </c>
      <c r="F115" s="26" t="s">
        <v>69</v>
      </c>
    </row>
    <row r="116" spans="1:6" ht="16" x14ac:dyDescent="0.2">
      <c r="A116" s="46">
        <v>42186</v>
      </c>
      <c r="B116" s="50">
        <v>99.8</v>
      </c>
      <c r="C116" s="51">
        <f t="shared" si="1"/>
        <v>3.2057911065149991E-2</v>
      </c>
      <c r="D116" s="52">
        <v>7.0000000000000007E-2</v>
      </c>
      <c r="E116" s="52">
        <v>-0.03</v>
      </c>
      <c r="F116" s="26" t="s">
        <v>69</v>
      </c>
    </row>
    <row r="117" spans="1:6" ht="16" x14ac:dyDescent="0.2">
      <c r="A117" s="46">
        <v>42217</v>
      </c>
      <c r="B117" s="50">
        <v>99.8</v>
      </c>
      <c r="C117" s="51">
        <f t="shared" si="1"/>
        <v>3.0991735537190035E-2</v>
      </c>
      <c r="D117" s="52">
        <v>7.0000000000000007E-2</v>
      </c>
      <c r="E117" s="52">
        <v>-0.03</v>
      </c>
      <c r="F117" s="26" t="s">
        <v>69</v>
      </c>
    </row>
    <row r="118" spans="1:6" ht="16" x14ac:dyDescent="0.2">
      <c r="A118" s="46">
        <v>42248</v>
      </c>
      <c r="B118" s="50">
        <v>99.7</v>
      </c>
      <c r="C118" s="51">
        <f t="shared" si="1"/>
        <v>2.2564102564102573E-2</v>
      </c>
      <c r="D118" s="52">
        <v>7.0000000000000007E-2</v>
      </c>
      <c r="E118" s="52">
        <v>-0.03</v>
      </c>
      <c r="F118" s="26" t="s">
        <v>69</v>
      </c>
    </row>
    <row r="119" spans="1:6" ht="16" x14ac:dyDescent="0.2">
      <c r="A119" s="46">
        <v>42278</v>
      </c>
      <c r="B119" s="50">
        <v>99.9</v>
      </c>
      <c r="C119" s="51">
        <f t="shared" si="1"/>
        <v>2.3565573770491843E-2</v>
      </c>
      <c r="D119" s="52">
        <v>7.0000000000000007E-2</v>
      </c>
      <c r="E119" s="52">
        <v>-0.03</v>
      </c>
      <c r="F119" s="26" t="s">
        <v>69</v>
      </c>
    </row>
    <row r="120" spans="1:6" ht="16" x14ac:dyDescent="0.2">
      <c r="A120" s="46">
        <v>42309</v>
      </c>
      <c r="B120" s="50">
        <v>100.3</v>
      </c>
      <c r="C120" s="51">
        <f t="shared" si="1"/>
        <v>2.4514811031664863E-2</v>
      </c>
      <c r="D120" s="52">
        <v>7.0000000000000007E-2</v>
      </c>
      <c r="E120" s="52">
        <v>-0.03</v>
      </c>
      <c r="F120" s="26" t="s">
        <v>69</v>
      </c>
    </row>
    <row r="121" spans="1:6" ht="16" x14ac:dyDescent="0.2">
      <c r="A121" s="46">
        <v>42339</v>
      </c>
      <c r="B121" s="50">
        <v>100.2</v>
      </c>
      <c r="C121" s="51">
        <f t="shared" si="1"/>
        <v>1.6227180527383478E-2</v>
      </c>
      <c r="D121" s="52">
        <v>7.0000000000000007E-2</v>
      </c>
      <c r="E121" s="52">
        <v>-0.03</v>
      </c>
      <c r="F121" s="26" t="s">
        <v>69</v>
      </c>
    </row>
    <row r="122" spans="1:6" ht="16" x14ac:dyDescent="0.2">
      <c r="A122" s="46">
        <v>42370</v>
      </c>
      <c r="B122" s="50">
        <v>99.6</v>
      </c>
      <c r="C122" s="51">
        <f t="shared" si="1"/>
        <v>1.1167512690355208E-2</v>
      </c>
      <c r="D122" s="52">
        <v>7.0000000000000007E-2</v>
      </c>
      <c r="E122" s="52">
        <v>-0.03</v>
      </c>
      <c r="F122" s="26" t="s">
        <v>69</v>
      </c>
    </row>
    <row r="123" spans="1:6" ht="16" x14ac:dyDescent="0.2">
      <c r="A123" s="46">
        <v>42401</v>
      </c>
      <c r="B123" s="50">
        <v>99.5</v>
      </c>
      <c r="C123" s="51">
        <f t="shared" si="1"/>
        <v>7.0850202429149078E-3</v>
      </c>
      <c r="D123" s="52">
        <v>7.0000000000000007E-2</v>
      </c>
      <c r="E123" s="52">
        <v>-0.03</v>
      </c>
      <c r="F123" s="26" t="s">
        <v>69</v>
      </c>
    </row>
    <row r="124" spans="1:6" ht="16" x14ac:dyDescent="0.2">
      <c r="A124" s="46">
        <v>42430</v>
      </c>
      <c r="B124" s="50">
        <v>99.5</v>
      </c>
      <c r="C124" s="51">
        <f t="shared" si="1"/>
        <v>5.050505050504972E-3</v>
      </c>
      <c r="D124" s="52">
        <v>7.0000000000000007E-2</v>
      </c>
      <c r="E124" s="52">
        <v>-0.03</v>
      </c>
      <c r="F124" s="26" t="s">
        <v>69</v>
      </c>
    </row>
    <row r="125" spans="1:6" ht="16" x14ac:dyDescent="0.2">
      <c r="A125" s="46">
        <v>42461</v>
      </c>
      <c r="B125" s="50">
        <v>99.8</v>
      </c>
      <c r="C125" s="51">
        <f t="shared" si="1"/>
        <v>4.0241448692150961E-3</v>
      </c>
      <c r="D125" s="52">
        <v>7.0000000000000007E-2</v>
      </c>
      <c r="E125" s="52">
        <v>-0.03</v>
      </c>
      <c r="F125" s="26" t="s">
        <v>69</v>
      </c>
    </row>
    <row r="126" spans="1:6" ht="16" x14ac:dyDescent="0.2">
      <c r="A126" s="46">
        <v>42491</v>
      </c>
      <c r="B126" s="50">
        <v>99.7</v>
      </c>
      <c r="C126" s="51">
        <f t="shared" si="1"/>
        <v>0</v>
      </c>
      <c r="D126" s="52">
        <v>7.0000000000000007E-2</v>
      </c>
      <c r="E126" s="52">
        <v>-0.03</v>
      </c>
      <c r="F126" s="26" t="s">
        <v>69</v>
      </c>
    </row>
    <row r="127" spans="1:6" ht="16" x14ac:dyDescent="0.2">
      <c r="A127" s="46">
        <v>42522</v>
      </c>
      <c r="B127" s="50">
        <v>99.9</v>
      </c>
      <c r="C127" s="51">
        <f t="shared" si="1"/>
        <v>-3.9880358923229942E-3</v>
      </c>
      <c r="D127" s="52">
        <v>7.0000000000000007E-2</v>
      </c>
      <c r="E127" s="52">
        <v>-0.03</v>
      </c>
      <c r="F127" s="26" t="s">
        <v>69</v>
      </c>
    </row>
    <row r="128" spans="1:6" ht="16" x14ac:dyDescent="0.2">
      <c r="A128" s="46">
        <v>42552</v>
      </c>
      <c r="B128" s="50">
        <v>100.1</v>
      </c>
      <c r="C128" s="51">
        <f t="shared" si="1"/>
        <v>3.0060120240480437E-3</v>
      </c>
      <c r="D128" s="52">
        <v>7.0000000000000007E-2</v>
      </c>
      <c r="E128" s="52">
        <v>-0.03</v>
      </c>
      <c r="F128" s="26" t="s">
        <v>70</v>
      </c>
    </row>
    <row r="129" spans="1:6" ht="16" x14ac:dyDescent="0.2">
      <c r="A129" s="46">
        <v>42583</v>
      </c>
      <c r="B129" s="50">
        <v>100.2</v>
      </c>
      <c r="C129" s="51">
        <f t="shared" si="1"/>
        <v>4.0080160320641323E-3</v>
      </c>
      <c r="D129" s="52">
        <v>7.0000000000000007E-2</v>
      </c>
      <c r="E129" s="52">
        <v>-0.03</v>
      </c>
      <c r="F129" s="26" t="s">
        <v>70</v>
      </c>
    </row>
    <row r="130" spans="1:6" ht="16" x14ac:dyDescent="0.2">
      <c r="A130" s="46">
        <v>42614</v>
      </c>
      <c r="B130" s="50">
        <v>100.3</v>
      </c>
      <c r="C130" s="51">
        <f t="shared" si="1"/>
        <v>6.0180541624874628E-3</v>
      </c>
      <c r="D130" s="52">
        <v>7.0000000000000007E-2</v>
      </c>
      <c r="E130" s="52">
        <v>-0.03</v>
      </c>
      <c r="F130" s="26" t="s">
        <v>70</v>
      </c>
    </row>
    <row r="131" spans="1:6" ht="16" x14ac:dyDescent="0.2">
      <c r="A131" s="46">
        <v>42644</v>
      </c>
      <c r="B131" s="50">
        <v>100.2</v>
      </c>
      <c r="C131" s="51">
        <f t="shared" si="1"/>
        <v>3.0030030030030463E-3</v>
      </c>
      <c r="D131" s="52">
        <v>7.0000000000000007E-2</v>
      </c>
      <c r="E131" s="52">
        <v>-0.03</v>
      </c>
      <c r="F131" s="26" t="s">
        <v>70</v>
      </c>
    </row>
    <row r="132" spans="1:6" ht="16" x14ac:dyDescent="0.2">
      <c r="A132" s="46">
        <v>42675</v>
      </c>
      <c r="B132" s="50">
        <v>100.3</v>
      </c>
      <c r="C132" s="51">
        <f t="shared" si="1"/>
        <v>0</v>
      </c>
      <c r="D132" s="52">
        <v>7.0000000000000007E-2</v>
      </c>
      <c r="E132" s="52">
        <v>-0.03</v>
      </c>
      <c r="F132" s="26" t="s">
        <v>70</v>
      </c>
    </row>
    <row r="133" spans="1:6" ht="16" x14ac:dyDescent="0.2">
      <c r="A133" s="46">
        <v>42705</v>
      </c>
      <c r="B133" s="50">
        <v>100.8</v>
      </c>
      <c r="C133" s="51">
        <f t="shared" si="1"/>
        <v>5.9880239520957446E-3</v>
      </c>
      <c r="D133" s="52">
        <v>7.0000000000000007E-2</v>
      </c>
      <c r="E133" s="52">
        <v>-0.03</v>
      </c>
      <c r="F133" s="26" t="s">
        <v>70</v>
      </c>
    </row>
    <row r="134" spans="1:6" ht="16" x14ac:dyDescent="0.2">
      <c r="A134" s="46">
        <v>42736</v>
      </c>
      <c r="B134" s="50">
        <v>101.5</v>
      </c>
      <c r="C134" s="51">
        <f t="shared" si="1"/>
        <v>1.9076305220883549E-2</v>
      </c>
      <c r="D134" s="52">
        <v>7.0000000000000007E-2</v>
      </c>
      <c r="E134" s="52">
        <v>-0.03</v>
      </c>
      <c r="F134" s="26" t="s">
        <v>70</v>
      </c>
    </row>
    <row r="135" spans="1:6" ht="16" x14ac:dyDescent="0.2">
      <c r="A135" s="46">
        <v>42767</v>
      </c>
      <c r="B135" s="50">
        <v>101.9</v>
      </c>
      <c r="C135" s="51">
        <f t="shared" si="1"/>
        <v>2.4120603015075348E-2</v>
      </c>
      <c r="D135" s="52">
        <v>7.0000000000000007E-2</v>
      </c>
      <c r="E135" s="52">
        <v>-0.03</v>
      </c>
      <c r="F135" s="26" t="s">
        <v>70</v>
      </c>
    </row>
    <row r="136" spans="1:6" ht="16" x14ac:dyDescent="0.2">
      <c r="A136" s="46">
        <v>42795</v>
      </c>
      <c r="B136" s="50">
        <v>102.4</v>
      </c>
      <c r="C136" s="51">
        <f t="shared" si="1"/>
        <v>2.9145728643216184E-2</v>
      </c>
      <c r="D136" s="52">
        <v>7.0000000000000007E-2</v>
      </c>
      <c r="E136" s="52">
        <v>-0.03</v>
      </c>
      <c r="F136" s="26" t="s">
        <v>70</v>
      </c>
    </row>
    <row r="137" spans="1:6" ht="16" x14ac:dyDescent="0.2">
      <c r="A137" s="46">
        <v>42826</v>
      </c>
      <c r="B137" s="50">
        <v>102.7</v>
      </c>
      <c r="C137" s="51">
        <f t="shared" si="1"/>
        <v>2.9058116232465014E-2</v>
      </c>
      <c r="D137" s="52">
        <v>7.0000000000000007E-2</v>
      </c>
      <c r="E137" s="52">
        <v>-0.03</v>
      </c>
      <c r="F137" s="26" t="s">
        <v>70</v>
      </c>
    </row>
    <row r="138" spans="1:6" ht="16" x14ac:dyDescent="0.2">
      <c r="A138" s="46">
        <v>42856</v>
      </c>
      <c r="B138" s="50">
        <v>103.1</v>
      </c>
      <c r="C138" s="51">
        <f t="shared" si="1"/>
        <v>3.4102306920762215E-2</v>
      </c>
      <c r="D138" s="52">
        <v>7.0000000000000007E-2</v>
      </c>
      <c r="E138" s="52">
        <v>-0.03</v>
      </c>
      <c r="F138" s="26" t="s">
        <v>70</v>
      </c>
    </row>
    <row r="139" spans="1:6" ht="16" x14ac:dyDescent="0.2">
      <c r="A139" s="46">
        <v>42887</v>
      </c>
      <c r="B139" s="50">
        <v>103.7</v>
      </c>
      <c r="C139" s="51">
        <f t="shared" si="1"/>
        <v>3.8038038038038069E-2</v>
      </c>
      <c r="D139" s="52">
        <v>7.0000000000000007E-2</v>
      </c>
      <c r="E139" s="52">
        <v>-0.03</v>
      </c>
      <c r="F139" s="26" t="s">
        <v>70</v>
      </c>
    </row>
    <row r="140" spans="1:6" ht="16" x14ac:dyDescent="0.2">
      <c r="A140" s="46">
        <v>42917</v>
      </c>
      <c r="B140" s="50">
        <v>104</v>
      </c>
      <c r="C140" s="51">
        <f t="shared" si="1"/>
        <v>3.8961038961039085E-2</v>
      </c>
      <c r="D140" s="52">
        <v>7.0000000000000007E-2</v>
      </c>
      <c r="E140" s="52">
        <v>-0.03</v>
      </c>
      <c r="F140" s="26" t="s">
        <v>70</v>
      </c>
    </row>
    <row r="141" spans="1:6" ht="16" x14ac:dyDescent="0.2">
      <c r="A141" s="46">
        <v>42948</v>
      </c>
      <c r="B141" s="50">
        <v>104.4</v>
      </c>
      <c r="C141" s="51">
        <f t="shared" si="1"/>
        <v>4.1916167664670656E-2</v>
      </c>
      <c r="D141" s="52">
        <v>7.0000000000000007E-2</v>
      </c>
      <c r="E141" s="52">
        <v>-0.03</v>
      </c>
      <c r="F141" s="26" t="s">
        <v>70</v>
      </c>
    </row>
    <row r="142" spans="1:6" ht="16" x14ac:dyDescent="0.2">
      <c r="A142" s="46">
        <v>42979</v>
      </c>
      <c r="B142" s="50">
        <v>104.8</v>
      </c>
      <c r="C142" s="51">
        <f t="shared" si="1"/>
        <v>4.4865403788634017E-2</v>
      </c>
      <c r="D142" s="52">
        <v>7.0000000000000007E-2</v>
      </c>
      <c r="E142" s="52">
        <v>-0.03</v>
      </c>
      <c r="F142" s="26" t="s">
        <v>70</v>
      </c>
    </row>
    <row r="143" spans="1:6" ht="16" x14ac:dyDescent="0.2">
      <c r="A143" s="46">
        <v>43009</v>
      </c>
      <c r="B143" s="50">
        <v>105.8</v>
      </c>
      <c r="C143" s="51">
        <f t="shared" si="1"/>
        <v>5.5888223552894134E-2</v>
      </c>
      <c r="D143" s="52">
        <v>7.0000000000000007E-2</v>
      </c>
      <c r="E143" s="52">
        <v>-0.03</v>
      </c>
      <c r="F143" s="26" t="s">
        <v>70</v>
      </c>
    </row>
    <row r="144" spans="1:6" ht="16" x14ac:dyDescent="0.2">
      <c r="A144" s="46">
        <v>43040</v>
      </c>
      <c r="B144" s="50">
        <v>106.4</v>
      </c>
      <c r="C144" s="51">
        <f t="shared" ref="C144:C203" si="2">B144/B132-1</f>
        <v>6.0817547357926216E-2</v>
      </c>
      <c r="D144" s="52">
        <v>7.0000000000000007E-2</v>
      </c>
      <c r="E144" s="52">
        <v>-0.03</v>
      </c>
      <c r="F144" s="26" t="s">
        <v>70</v>
      </c>
    </row>
    <row r="145" spans="1:6" ht="16" x14ac:dyDescent="0.2">
      <c r="A145" s="46">
        <v>43070</v>
      </c>
      <c r="B145" s="50">
        <v>107.1</v>
      </c>
      <c r="C145" s="51">
        <f t="shared" si="2"/>
        <v>6.25E-2</v>
      </c>
      <c r="D145" s="52">
        <v>7.0000000000000007E-2</v>
      </c>
      <c r="E145" s="52">
        <v>-0.03</v>
      </c>
      <c r="F145" s="26" t="s">
        <v>70</v>
      </c>
    </row>
    <row r="146" spans="1:6" ht="16" x14ac:dyDescent="0.2">
      <c r="A146" s="46">
        <v>43101</v>
      </c>
      <c r="B146" s="50">
        <v>108</v>
      </c>
      <c r="C146" s="51">
        <f t="shared" si="2"/>
        <v>6.4039408866995107E-2</v>
      </c>
      <c r="D146" s="52">
        <v>7.0000000000000007E-2</v>
      </c>
      <c r="E146" s="52">
        <v>-0.03</v>
      </c>
      <c r="F146" s="26" t="s">
        <v>70</v>
      </c>
    </row>
    <row r="147" spans="1:6" ht="16" x14ac:dyDescent="0.2">
      <c r="A147" s="46">
        <v>43132</v>
      </c>
      <c r="B147" s="50">
        <v>108.7</v>
      </c>
      <c r="C147" s="51">
        <f t="shared" si="2"/>
        <v>6.6732090284592704E-2</v>
      </c>
      <c r="D147" s="52">
        <v>7.0000000000000007E-2</v>
      </c>
      <c r="E147" s="52">
        <v>-0.03</v>
      </c>
      <c r="F147" s="26" t="s">
        <v>70</v>
      </c>
    </row>
    <row r="148" spans="1:6" ht="16" x14ac:dyDescent="0.2">
      <c r="A148" s="46">
        <v>43160</v>
      </c>
      <c r="B148" s="50">
        <v>109.3</v>
      </c>
      <c r="C148" s="51">
        <f t="shared" si="2"/>
        <v>6.73828125E-2</v>
      </c>
      <c r="D148" s="52">
        <v>7.0000000000000007E-2</v>
      </c>
      <c r="E148" s="52">
        <v>-0.03</v>
      </c>
      <c r="F148" s="26" t="s">
        <v>70</v>
      </c>
    </row>
    <row r="149" spans="1:6" ht="16" x14ac:dyDescent="0.2">
      <c r="A149" s="46">
        <v>43191</v>
      </c>
      <c r="B149" s="50">
        <v>109.8</v>
      </c>
      <c r="C149" s="51">
        <f t="shared" si="2"/>
        <v>6.9133398247322342E-2</v>
      </c>
      <c r="D149" s="52">
        <v>7.0000000000000007E-2</v>
      </c>
      <c r="E149" s="52">
        <v>-0.03</v>
      </c>
      <c r="F149" s="26" t="s">
        <v>70</v>
      </c>
    </row>
    <row r="150" spans="1:6" ht="16" x14ac:dyDescent="0.2">
      <c r="A150" s="46">
        <v>43221</v>
      </c>
      <c r="B150" s="50">
        <v>110.2</v>
      </c>
      <c r="C150" s="51">
        <f t="shared" si="2"/>
        <v>6.8865179437439528E-2</v>
      </c>
      <c r="D150" s="52">
        <v>7.0000000000000007E-2</v>
      </c>
      <c r="E150" s="52">
        <v>-0.03</v>
      </c>
      <c r="F150" s="26" t="s">
        <v>70</v>
      </c>
    </row>
    <row r="151" spans="1:6" ht="16" x14ac:dyDescent="0.2">
      <c r="A151" s="46">
        <v>43252</v>
      </c>
      <c r="B151" s="50">
        <v>111</v>
      </c>
      <c r="C151" s="51">
        <f t="shared" si="2"/>
        <v>7.0395371263259454E-2</v>
      </c>
      <c r="D151" s="52">
        <v>7.0000000000000007E-2</v>
      </c>
      <c r="E151" s="52">
        <v>-0.03</v>
      </c>
      <c r="F151" s="26" t="s">
        <v>70</v>
      </c>
    </row>
    <row r="152" spans="1:6" ht="16" x14ac:dyDescent="0.2">
      <c r="A152" s="46">
        <v>43282</v>
      </c>
      <c r="B152" s="50">
        <v>111.5</v>
      </c>
      <c r="C152" s="51">
        <f t="shared" si="2"/>
        <v>7.2115384615384581E-2</v>
      </c>
      <c r="D152" s="52">
        <v>7.0000000000000007E-2</v>
      </c>
      <c r="E152" s="52">
        <v>-0.03</v>
      </c>
      <c r="F152" s="26" t="s">
        <v>70</v>
      </c>
    </row>
    <row r="153" spans="1:6" ht="16" x14ac:dyDescent="0.2">
      <c r="A153" s="46">
        <v>43313</v>
      </c>
      <c r="B153" s="50">
        <v>111.8</v>
      </c>
      <c r="C153" s="51">
        <f t="shared" si="2"/>
        <v>7.0881226053639779E-2</v>
      </c>
      <c r="D153" s="52">
        <v>7.0000000000000007E-2</v>
      </c>
      <c r="E153" s="52">
        <v>-0.03</v>
      </c>
      <c r="F153" s="26" t="s">
        <v>70</v>
      </c>
    </row>
    <row r="154" spans="1:6" ht="16" x14ac:dyDescent="0.2">
      <c r="A154" s="46">
        <v>43344</v>
      </c>
      <c r="B154" s="50">
        <v>112.4</v>
      </c>
      <c r="C154" s="51">
        <f t="shared" si="2"/>
        <v>7.2519083969465825E-2</v>
      </c>
      <c r="D154" s="52">
        <v>7.0000000000000007E-2</v>
      </c>
      <c r="E154" s="52">
        <v>-0.03</v>
      </c>
      <c r="F154" s="26" t="s">
        <v>70</v>
      </c>
    </row>
    <row r="155" spans="1:6" ht="16" x14ac:dyDescent="0.2">
      <c r="A155" s="46">
        <v>43374</v>
      </c>
      <c r="B155" s="50">
        <v>112.5</v>
      </c>
      <c r="C155" s="51">
        <f t="shared" si="2"/>
        <v>6.332703213610591E-2</v>
      </c>
      <c r="D155" s="52">
        <v>7.0000000000000007E-2</v>
      </c>
      <c r="E155" s="52">
        <v>-0.03</v>
      </c>
      <c r="F155" s="26" t="s">
        <v>69</v>
      </c>
    </row>
    <row r="156" spans="1:6" ht="16" x14ac:dyDescent="0.2">
      <c r="A156" s="46">
        <v>43405</v>
      </c>
      <c r="B156" s="50">
        <v>112.5</v>
      </c>
      <c r="C156" s="51">
        <f t="shared" si="2"/>
        <v>5.7330827067669121E-2</v>
      </c>
      <c r="D156" s="52">
        <v>7.0000000000000007E-2</v>
      </c>
      <c r="E156" s="52">
        <v>-0.03</v>
      </c>
      <c r="F156" s="26" t="s">
        <v>69</v>
      </c>
    </row>
    <row r="157" spans="1:6" ht="16" x14ac:dyDescent="0.2">
      <c r="A157" s="46">
        <v>43435</v>
      </c>
      <c r="B157" s="50">
        <v>112.5</v>
      </c>
      <c r="C157" s="51">
        <f t="shared" si="2"/>
        <v>5.0420168067226934E-2</v>
      </c>
      <c r="D157" s="52">
        <v>7.0000000000000007E-2</v>
      </c>
      <c r="E157" s="52">
        <v>-0.03</v>
      </c>
      <c r="F157" s="26" t="s">
        <v>69</v>
      </c>
    </row>
    <row r="158" spans="1:6" ht="16" x14ac:dyDescent="0.2">
      <c r="A158" s="46">
        <v>43466</v>
      </c>
      <c r="B158" s="50">
        <v>112.2</v>
      </c>
      <c r="C158" s="51">
        <f t="shared" si="2"/>
        <v>3.8888888888888973E-2</v>
      </c>
      <c r="D158" s="52">
        <v>7.0000000000000007E-2</v>
      </c>
      <c r="E158" s="52">
        <v>-0.03</v>
      </c>
      <c r="F158" s="26" t="s">
        <v>69</v>
      </c>
    </row>
    <row r="159" spans="1:6" ht="16" x14ac:dyDescent="0.2">
      <c r="A159" s="46">
        <v>43497</v>
      </c>
      <c r="B159" s="50">
        <v>112.4</v>
      </c>
      <c r="C159" s="51">
        <f t="shared" si="2"/>
        <v>3.4038638454461756E-2</v>
      </c>
      <c r="D159" s="52">
        <v>7.0000000000000007E-2</v>
      </c>
      <c r="E159" s="52">
        <v>-0.03</v>
      </c>
      <c r="F159" s="26" t="s">
        <v>69</v>
      </c>
    </row>
    <row r="160" spans="1:6" ht="16" x14ac:dyDescent="0.2">
      <c r="A160" s="46">
        <v>43525</v>
      </c>
      <c r="B160" s="50">
        <v>112.7</v>
      </c>
      <c r="C160" s="51">
        <f t="shared" si="2"/>
        <v>3.1107044830741115E-2</v>
      </c>
      <c r="D160" s="52">
        <v>7.0000000000000007E-2</v>
      </c>
      <c r="E160" s="52">
        <v>-0.03</v>
      </c>
      <c r="F160" s="26" t="s">
        <v>69</v>
      </c>
    </row>
    <row r="161" spans="1:6" ht="16" x14ac:dyDescent="0.2">
      <c r="A161" s="46">
        <v>43556</v>
      </c>
      <c r="B161" s="50">
        <v>112.9</v>
      </c>
      <c r="C161" s="51">
        <f t="shared" si="2"/>
        <v>2.823315118397085E-2</v>
      </c>
      <c r="D161" s="52">
        <v>7.0000000000000007E-2</v>
      </c>
      <c r="E161" s="52">
        <v>-0.03</v>
      </c>
      <c r="F161" s="26" t="s">
        <v>69</v>
      </c>
    </row>
    <row r="162" spans="1:6" ht="16" x14ac:dyDescent="0.2">
      <c r="A162" s="46">
        <v>43586</v>
      </c>
      <c r="B162" s="50">
        <v>112.9</v>
      </c>
      <c r="C162" s="51">
        <f t="shared" si="2"/>
        <v>2.4500907441016295E-2</v>
      </c>
      <c r="D162" s="52">
        <v>7.0000000000000007E-2</v>
      </c>
      <c r="E162" s="52">
        <v>-0.03</v>
      </c>
      <c r="F162" s="26" t="s">
        <v>69</v>
      </c>
    </row>
    <row r="163" spans="1:6" ht="16" x14ac:dyDescent="0.2">
      <c r="A163" s="46">
        <v>43617</v>
      </c>
      <c r="B163" s="50">
        <v>112.9</v>
      </c>
      <c r="C163" s="51">
        <f t="shared" si="2"/>
        <v>1.7117117117117164E-2</v>
      </c>
      <c r="D163" s="52">
        <v>7.0000000000000007E-2</v>
      </c>
      <c r="E163" s="52">
        <v>-0.03</v>
      </c>
      <c r="F163" s="26" t="s">
        <v>69</v>
      </c>
    </row>
    <row r="164" spans="1:6" ht="16" x14ac:dyDescent="0.2">
      <c r="A164" s="46">
        <v>43647</v>
      </c>
      <c r="B164" s="50">
        <v>113.1</v>
      </c>
      <c r="C164" s="51">
        <f t="shared" si="2"/>
        <v>1.4349775784753271E-2</v>
      </c>
      <c r="D164" s="52">
        <v>7.0000000000000007E-2</v>
      </c>
      <c r="E164" s="52">
        <v>-0.03</v>
      </c>
      <c r="F164" s="26" t="s">
        <v>69</v>
      </c>
    </row>
    <row r="165" spans="1:6" ht="16" x14ac:dyDescent="0.2">
      <c r="A165" s="46">
        <v>43678</v>
      </c>
      <c r="B165" s="50">
        <v>112.8</v>
      </c>
      <c r="C165" s="51">
        <f t="shared" si="2"/>
        <v>8.9445438282647061E-3</v>
      </c>
      <c r="D165" s="52">
        <v>7.0000000000000007E-2</v>
      </c>
      <c r="E165" s="52">
        <v>-0.03</v>
      </c>
      <c r="F165" s="26" t="s">
        <v>69</v>
      </c>
    </row>
    <row r="166" spans="1:6" ht="16" x14ac:dyDescent="0.2">
      <c r="A166" s="46">
        <v>43709</v>
      </c>
      <c r="B166" s="50">
        <v>112.5</v>
      </c>
      <c r="C166" s="51">
        <f t="shared" si="2"/>
        <v>8.8967971530240497E-4</v>
      </c>
      <c r="D166" s="52">
        <v>7.0000000000000007E-2</v>
      </c>
      <c r="E166" s="52">
        <v>-0.03</v>
      </c>
      <c r="F166" s="26" t="s">
        <v>69</v>
      </c>
    </row>
    <row r="167" spans="1:6" ht="16" x14ac:dyDescent="0.2">
      <c r="A167" s="46">
        <v>43739</v>
      </c>
      <c r="B167" s="50">
        <v>112.1</v>
      </c>
      <c r="C167" s="51">
        <f t="shared" si="2"/>
        <v>-3.5555555555556451E-3</v>
      </c>
      <c r="D167" s="52">
        <v>7.0000000000000007E-2</v>
      </c>
      <c r="E167" s="52">
        <v>-0.03</v>
      </c>
      <c r="F167" s="26" t="s">
        <v>69</v>
      </c>
    </row>
    <row r="168" spans="1:6" ht="16" x14ac:dyDescent="0.2">
      <c r="A168" s="46">
        <v>43770</v>
      </c>
      <c r="B168" s="50">
        <v>112.2</v>
      </c>
      <c r="C168" s="51">
        <f t="shared" si="2"/>
        <v>-2.666666666666595E-3</v>
      </c>
      <c r="D168" s="52">
        <v>7.0000000000000007E-2</v>
      </c>
      <c r="E168" s="52">
        <v>-0.03</v>
      </c>
      <c r="F168" s="26" t="s">
        <v>69</v>
      </c>
    </row>
    <row r="169" spans="1:6" ht="16" x14ac:dyDescent="0.2">
      <c r="A169" s="46">
        <v>43800</v>
      </c>
      <c r="B169" s="50">
        <v>112</v>
      </c>
      <c r="C169" s="51">
        <f t="shared" si="2"/>
        <v>-4.4444444444444731E-3</v>
      </c>
      <c r="D169" s="52">
        <v>7.0000000000000007E-2</v>
      </c>
      <c r="E169" s="52">
        <v>-0.03</v>
      </c>
      <c r="F169" s="26" t="s">
        <v>69</v>
      </c>
    </row>
    <row r="170" spans="1:6" ht="16" x14ac:dyDescent="0.2">
      <c r="A170" s="46">
        <v>43831</v>
      </c>
      <c r="B170" s="50">
        <v>112.5</v>
      </c>
      <c r="C170" s="51">
        <f t="shared" si="2"/>
        <v>2.673796791443861E-3</v>
      </c>
      <c r="D170" s="52">
        <v>7.0000000000000007E-2</v>
      </c>
      <c r="E170" s="52">
        <v>-0.03</v>
      </c>
      <c r="F170" s="26" t="s">
        <v>69</v>
      </c>
    </row>
    <row r="171" spans="1:6" ht="16" x14ac:dyDescent="0.2">
      <c r="A171" s="46">
        <v>43862</v>
      </c>
      <c r="B171" s="50">
        <v>112.4</v>
      </c>
      <c r="C171" s="51">
        <f t="shared" si="2"/>
        <v>0</v>
      </c>
      <c r="D171" s="52">
        <v>7.0000000000000007E-2</v>
      </c>
      <c r="E171" s="52">
        <v>-0.03</v>
      </c>
      <c r="F171" s="26" t="s">
        <v>69</v>
      </c>
    </row>
    <row r="172" spans="1:6" ht="16" x14ac:dyDescent="0.2">
      <c r="A172" s="46">
        <v>43891</v>
      </c>
      <c r="B172" s="50">
        <v>107</v>
      </c>
      <c r="C172" s="51">
        <f t="shared" si="2"/>
        <v>-5.0576752440106509E-2</v>
      </c>
      <c r="D172" s="52">
        <v>7.0000000000000007E-2</v>
      </c>
      <c r="E172" s="52">
        <v>-0.03</v>
      </c>
      <c r="F172" s="26" t="s">
        <v>65</v>
      </c>
    </row>
    <row r="173" spans="1:6" ht="16" x14ac:dyDescent="0.2">
      <c r="A173" s="46">
        <v>43922</v>
      </c>
      <c r="B173" s="50">
        <v>101.3</v>
      </c>
      <c r="C173" s="51">
        <f t="shared" si="2"/>
        <v>-0.1027457927369354</v>
      </c>
      <c r="D173" s="52">
        <v>7.0000000000000007E-2</v>
      </c>
      <c r="E173" s="52">
        <v>-0.03</v>
      </c>
      <c r="F173" s="26" t="s">
        <v>65</v>
      </c>
    </row>
    <row r="174" spans="1:6" ht="16" x14ac:dyDescent="0.2">
      <c r="A174" s="46">
        <v>43952</v>
      </c>
      <c r="B174" s="50">
        <v>103</v>
      </c>
      <c r="C174" s="51">
        <f t="shared" si="2"/>
        <v>-8.7688219663418998E-2</v>
      </c>
      <c r="D174" s="52">
        <v>7.0000000000000007E-2</v>
      </c>
      <c r="E174" s="52">
        <v>-0.03</v>
      </c>
      <c r="F174" s="26" t="s">
        <v>67</v>
      </c>
    </row>
    <row r="175" spans="1:6" ht="16" x14ac:dyDescent="0.2">
      <c r="A175" s="46">
        <v>43983</v>
      </c>
      <c r="B175" s="50">
        <v>105.3</v>
      </c>
      <c r="C175" s="51">
        <f t="shared" si="2"/>
        <v>-6.7316209034543939E-2</v>
      </c>
      <c r="D175" s="52">
        <v>7.0000000000000007E-2</v>
      </c>
      <c r="E175" s="52">
        <v>-0.03</v>
      </c>
      <c r="F175" s="26" t="s">
        <v>67</v>
      </c>
    </row>
    <row r="176" spans="1:6" ht="16" x14ac:dyDescent="0.2">
      <c r="A176" s="46">
        <v>44013</v>
      </c>
      <c r="B176" s="50">
        <v>107.1</v>
      </c>
      <c r="C176" s="51">
        <f t="shared" si="2"/>
        <v>-5.3050397877984046E-2</v>
      </c>
      <c r="D176" s="52">
        <v>7.0000000000000007E-2</v>
      </c>
      <c r="E176" s="52">
        <v>-0.03</v>
      </c>
      <c r="F176" s="26" t="s">
        <v>67</v>
      </c>
    </row>
    <row r="177" spans="1:6" ht="16" x14ac:dyDescent="0.2">
      <c r="A177" s="46">
        <v>44044</v>
      </c>
      <c r="B177" s="50">
        <v>108</v>
      </c>
      <c r="C177" s="51">
        <f t="shared" si="2"/>
        <v>-4.2553191489361653E-2</v>
      </c>
      <c r="D177" s="52">
        <v>7.0000000000000007E-2</v>
      </c>
      <c r="E177" s="52">
        <v>-0.03</v>
      </c>
      <c r="F177" s="26" t="s">
        <v>67</v>
      </c>
    </row>
    <row r="178" spans="1:6" ht="16" x14ac:dyDescent="0.2">
      <c r="A178" s="46">
        <v>44075</v>
      </c>
      <c r="B178" s="50">
        <v>108.6</v>
      </c>
      <c r="C178" s="51">
        <f t="shared" si="2"/>
        <v>-3.4666666666666734E-2</v>
      </c>
      <c r="D178" s="52">
        <v>7.0000000000000007E-2</v>
      </c>
      <c r="E178" s="52">
        <v>-0.03</v>
      </c>
      <c r="F178" s="26" t="s">
        <v>67</v>
      </c>
    </row>
    <row r="179" spans="1:6" ht="16" x14ac:dyDescent="0.2">
      <c r="A179" s="46">
        <v>44105</v>
      </c>
      <c r="B179" s="50">
        <v>109.3</v>
      </c>
      <c r="C179" s="51">
        <f t="shared" si="2"/>
        <v>-2.4977698483496846E-2</v>
      </c>
      <c r="D179" s="52">
        <v>7.0000000000000007E-2</v>
      </c>
      <c r="E179" s="52">
        <v>-0.03</v>
      </c>
      <c r="F179" s="26" t="s">
        <v>67</v>
      </c>
    </row>
    <row r="180" spans="1:6" ht="16" x14ac:dyDescent="0.2">
      <c r="A180" s="46">
        <v>44136</v>
      </c>
      <c r="B180" s="50">
        <v>110.1</v>
      </c>
      <c r="C180" s="51">
        <f t="shared" si="2"/>
        <v>-1.8716577540107027E-2</v>
      </c>
      <c r="D180" s="52">
        <v>7.0000000000000007E-2</v>
      </c>
      <c r="E180" s="52">
        <v>-0.03</v>
      </c>
      <c r="F180" s="26" t="s">
        <v>67</v>
      </c>
    </row>
    <row r="181" spans="1:6" ht="16" x14ac:dyDescent="0.2">
      <c r="A181" s="46">
        <v>44166</v>
      </c>
      <c r="B181" s="50">
        <v>110.8</v>
      </c>
      <c r="C181" s="51">
        <f t="shared" si="2"/>
        <v>-1.0714285714285787E-2</v>
      </c>
      <c r="D181" s="52">
        <v>7.0000000000000007E-2</v>
      </c>
      <c r="E181" s="52">
        <v>-0.03</v>
      </c>
      <c r="F181" s="26" t="s">
        <v>67</v>
      </c>
    </row>
    <row r="182" spans="1:6" ht="16" x14ac:dyDescent="0.2">
      <c r="A182" s="46">
        <v>44197</v>
      </c>
      <c r="B182" s="50">
        <v>111.5</v>
      </c>
      <c r="C182" s="51">
        <f t="shared" si="2"/>
        <v>-8.8888888888888351E-3</v>
      </c>
      <c r="D182" s="52">
        <v>7.0000000000000007E-2</v>
      </c>
      <c r="E182" s="52">
        <v>-0.03</v>
      </c>
      <c r="F182" s="26" t="s">
        <v>67</v>
      </c>
    </row>
    <row r="183" spans="1:6" ht="16" x14ac:dyDescent="0.2">
      <c r="A183" s="46">
        <v>44228</v>
      </c>
      <c r="B183" s="50">
        <v>111.4</v>
      </c>
      <c r="C183" s="51">
        <f t="shared" si="2"/>
        <v>-8.8967971530249379E-3</v>
      </c>
      <c r="D183" s="52">
        <v>7.0000000000000007E-2</v>
      </c>
      <c r="E183" s="52">
        <v>-0.03</v>
      </c>
      <c r="F183" s="26" t="s">
        <v>67</v>
      </c>
    </row>
    <row r="184" spans="1:6" ht="16" x14ac:dyDescent="0.2">
      <c r="A184" s="46">
        <v>44256</v>
      </c>
      <c r="B184" s="50">
        <v>112.6</v>
      </c>
      <c r="C184" s="51">
        <f t="shared" si="2"/>
        <v>5.2336448598130803E-2</v>
      </c>
      <c r="D184" s="52">
        <v>7.0000000000000007E-2</v>
      </c>
      <c r="E184" s="52">
        <v>-0.03</v>
      </c>
      <c r="F184" s="26" t="s">
        <v>68</v>
      </c>
    </row>
    <row r="185" spans="1:6" ht="16" x14ac:dyDescent="0.2">
      <c r="A185" s="46">
        <v>44287</v>
      </c>
      <c r="B185" s="50">
        <v>113.8</v>
      </c>
      <c r="C185" s="51">
        <f t="shared" si="2"/>
        <v>0.12339585389930896</v>
      </c>
      <c r="D185" s="52">
        <v>7.0000000000000007E-2</v>
      </c>
      <c r="E185" s="52">
        <v>-0.03</v>
      </c>
      <c r="F185" s="26" t="s">
        <v>68</v>
      </c>
    </row>
    <row r="186" spans="1:6" ht="16" x14ac:dyDescent="0.2">
      <c r="A186" s="46">
        <v>44317</v>
      </c>
      <c r="B186" s="50">
        <v>114.8</v>
      </c>
      <c r="C186" s="51">
        <f t="shared" si="2"/>
        <v>0.11456310679611659</v>
      </c>
      <c r="D186" s="52">
        <v>7.0000000000000007E-2</v>
      </c>
      <c r="E186" s="52">
        <v>-0.03</v>
      </c>
      <c r="F186" s="26" t="s">
        <v>68</v>
      </c>
    </row>
    <row r="187" spans="1:6" ht="16" x14ac:dyDescent="0.2">
      <c r="A187" s="46">
        <v>44348</v>
      </c>
      <c r="B187" s="50">
        <v>115.5</v>
      </c>
      <c r="C187" s="51">
        <f t="shared" si="2"/>
        <v>9.6866096866096818E-2</v>
      </c>
      <c r="D187" s="52">
        <v>7.0000000000000007E-2</v>
      </c>
      <c r="E187" s="52">
        <v>-0.03</v>
      </c>
      <c r="F187" s="26" t="s">
        <v>68</v>
      </c>
    </row>
    <row r="188" spans="1:6" ht="16" x14ac:dyDescent="0.2">
      <c r="A188" s="46">
        <v>44378</v>
      </c>
      <c r="B188" s="50">
        <v>116.6</v>
      </c>
      <c r="C188" s="51">
        <f t="shared" si="2"/>
        <v>8.8702147525676844E-2</v>
      </c>
      <c r="D188" s="52">
        <v>7.0000000000000007E-2</v>
      </c>
      <c r="E188" s="52">
        <v>-0.03</v>
      </c>
      <c r="F188" s="26" t="s">
        <v>68</v>
      </c>
    </row>
    <row r="189" spans="1:6" ht="16" x14ac:dyDescent="0.2">
      <c r="A189" s="46">
        <v>44409</v>
      </c>
      <c r="B189" s="50">
        <v>117.4</v>
      </c>
      <c r="C189" s="51">
        <f t="shared" si="2"/>
        <v>8.7037037037037024E-2</v>
      </c>
      <c r="D189" s="52">
        <v>7.0000000000000007E-2</v>
      </c>
      <c r="E189" s="52">
        <v>-0.03</v>
      </c>
      <c r="F189" s="26" t="s">
        <v>68</v>
      </c>
    </row>
    <row r="190" spans="1:6" ht="16" x14ac:dyDescent="0.2">
      <c r="A190" s="46">
        <v>44440</v>
      </c>
      <c r="B190" s="50">
        <v>117.6</v>
      </c>
      <c r="C190" s="51">
        <f t="shared" si="2"/>
        <v>8.287292817679548E-2</v>
      </c>
      <c r="D190" s="52">
        <v>7.0000000000000007E-2</v>
      </c>
      <c r="E190" s="52">
        <v>-0.03</v>
      </c>
      <c r="F190" s="26" t="s">
        <v>68</v>
      </c>
    </row>
    <row r="191" spans="1:6" ht="16" x14ac:dyDescent="0.2">
      <c r="A191" s="46">
        <v>44470</v>
      </c>
      <c r="B191" s="50">
        <v>118.1</v>
      </c>
      <c r="C191" s="51">
        <f t="shared" si="2"/>
        <v>8.0512351326623932E-2</v>
      </c>
      <c r="D191" s="52">
        <v>7.0000000000000007E-2</v>
      </c>
      <c r="E191" s="52">
        <v>-0.03</v>
      </c>
      <c r="F191" s="26" t="s">
        <v>68</v>
      </c>
    </row>
    <row r="192" spans="1:6" ht="16" x14ac:dyDescent="0.2">
      <c r="A192" s="46">
        <v>44501</v>
      </c>
      <c r="B192" s="50">
        <v>118.8</v>
      </c>
      <c r="C192" s="51">
        <f t="shared" si="2"/>
        <v>7.9019073569482234E-2</v>
      </c>
      <c r="D192" s="52">
        <v>7.0000000000000007E-2</v>
      </c>
      <c r="E192" s="52">
        <v>-0.03</v>
      </c>
      <c r="F192" s="26" t="s">
        <v>68</v>
      </c>
    </row>
    <row r="193" spans="1:6" ht="16" x14ac:dyDescent="0.2">
      <c r="A193" s="46">
        <v>44531</v>
      </c>
      <c r="B193" s="50">
        <v>119.3</v>
      </c>
      <c r="C193" s="51">
        <f t="shared" si="2"/>
        <v>7.6714801444043301E-2</v>
      </c>
      <c r="D193" s="52">
        <v>7.0000000000000007E-2</v>
      </c>
      <c r="E193" s="52">
        <v>-0.03</v>
      </c>
      <c r="F193" s="26" t="s">
        <v>68</v>
      </c>
    </row>
    <row r="194" spans="1:6" ht="16" x14ac:dyDescent="0.2">
      <c r="A194" s="46">
        <v>44562</v>
      </c>
      <c r="B194" s="50">
        <v>118.5</v>
      </c>
      <c r="C194" s="51">
        <f t="shared" si="2"/>
        <v>6.2780269058295923E-2</v>
      </c>
      <c r="D194" s="52">
        <v>7.0000000000000007E-2</v>
      </c>
      <c r="E194" s="52">
        <v>-0.03</v>
      </c>
      <c r="F194" s="26" t="s">
        <v>69</v>
      </c>
    </row>
    <row r="195" spans="1:6" ht="16" x14ac:dyDescent="0.2">
      <c r="A195" s="46">
        <v>44593</v>
      </c>
      <c r="B195" s="50">
        <v>119.4</v>
      </c>
      <c r="C195" s="51">
        <f t="shared" si="2"/>
        <v>7.1813285457809739E-2</v>
      </c>
      <c r="D195" s="52">
        <v>7.0000000000000007E-2</v>
      </c>
      <c r="E195" s="52">
        <v>-0.03</v>
      </c>
      <c r="F195" s="26" t="s">
        <v>69</v>
      </c>
    </row>
    <row r="196" spans="1:6" ht="16" x14ac:dyDescent="0.2">
      <c r="A196" s="46">
        <v>44621</v>
      </c>
      <c r="B196" s="50">
        <v>119.3</v>
      </c>
      <c r="C196" s="51">
        <f t="shared" si="2"/>
        <v>5.9502664298401342E-2</v>
      </c>
      <c r="D196" s="52">
        <v>7.0000000000000007E-2</v>
      </c>
      <c r="E196" s="52">
        <v>-0.03</v>
      </c>
      <c r="F196" s="26" t="s">
        <v>69</v>
      </c>
    </row>
    <row r="197" spans="1:6" ht="16" x14ac:dyDescent="0.2">
      <c r="A197" s="46">
        <v>44652</v>
      </c>
      <c r="B197" s="50">
        <v>118.7</v>
      </c>
      <c r="C197" s="51">
        <f t="shared" si="2"/>
        <v>4.3057996485061478E-2</v>
      </c>
      <c r="D197" s="52">
        <v>7.0000000000000007E-2</v>
      </c>
      <c r="E197" s="52">
        <v>-0.03</v>
      </c>
      <c r="F197" s="26" t="s">
        <v>69</v>
      </c>
    </row>
    <row r="198" spans="1:6" ht="16" x14ac:dyDescent="0.2">
      <c r="A198" s="46">
        <v>44682</v>
      </c>
      <c r="B198" s="50">
        <v>117.9</v>
      </c>
      <c r="C198" s="51">
        <f t="shared" si="2"/>
        <v>2.7003484320557547E-2</v>
      </c>
      <c r="D198" s="52">
        <v>7.0000000000000007E-2</v>
      </c>
      <c r="E198" s="52">
        <v>-0.03</v>
      </c>
      <c r="F198" s="26" t="s">
        <v>69</v>
      </c>
    </row>
    <row r="199" spans="1:6" ht="16" x14ac:dyDescent="0.2">
      <c r="A199" s="46">
        <v>44713</v>
      </c>
      <c r="B199" s="50">
        <v>117.1</v>
      </c>
      <c r="C199" s="51">
        <f t="shared" si="2"/>
        <v>1.3852813852813783E-2</v>
      </c>
      <c r="D199" s="52">
        <v>7.0000000000000007E-2</v>
      </c>
      <c r="E199" s="52">
        <v>-0.03</v>
      </c>
      <c r="F199" s="26" t="s">
        <v>69</v>
      </c>
    </row>
    <row r="200" spans="1:6" ht="16" x14ac:dyDescent="0.2">
      <c r="A200" s="46">
        <v>44743</v>
      </c>
      <c r="B200" s="50">
        <v>116.6</v>
      </c>
      <c r="C200" s="51">
        <f t="shared" si="2"/>
        <v>0</v>
      </c>
      <c r="D200" s="52">
        <v>7.0000000000000007E-2</v>
      </c>
      <c r="E200" s="52">
        <v>-0.03</v>
      </c>
      <c r="F200" s="26" t="s">
        <v>65</v>
      </c>
    </row>
    <row r="201" spans="1:6" ht="16" x14ac:dyDescent="0.2">
      <c r="A201" s="46">
        <v>44774</v>
      </c>
      <c r="B201" s="50">
        <v>116.4</v>
      </c>
      <c r="C201" s="51">
        <f t="shared" si="2"/>
        <v>-8.5178875638841633E-3</v>
      </c>
      <c r="D201" s="52">
        <v>7.0000000000000007E-2</v>
      </c>
      <c r="E201" s="52">
        <v>-0.03</v>
      </c>
      <c r="F201" s="26" t="s">
        <v>65</v>
      </c>
    </row>
    <row r="202" spans="1:6" ht="16" x14ac:dyDescent="0.2">
      <c r="A202" s="46">
        <v>44805</v>
      </c>
      <c r="B202" s="50">
        <v>115.8</v>
      </c>
      <c r="C202" s="51">
        <f t="shared" si="2"/>
        <v>-1.5306122448979553E-2</v>
      </c>
      <c r="D202" s="52">
        <v>7.0000000000000007E-2</v>
      </c>
      <c r="E202" s="52">
        <v>-0.03</v>
      </c>
      <c r="F202" s="26" t="s">
        <v>65</v>
      </c>
    </row>
    <row r="203" spans="1:6" ht="16" x14ac:dyDescent="0.2">
      <c r="A203" s="46">
        <v>44835</v>
      </c>
      <c r="B203" s="50">
        <v>114.9</v>
      </c>
      <c r="C203" s="51">
        <f t="shared" si="2"/>
        <v>-2.7095681625740831E-2</v>
      </c>
      <c r="D203" s="52">
        <v>7.0000000000000007E-2</v>
      </c>
      <c r="E203" s="52">
        <v>-0.03</v>
      </c>
      <c r="F203" s="26" t="s">
        <v>65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0CAEE-5C89-FA43-882F-91E3C5F9DB77}">
  <dimension ref="A1:S20"/>
  <sheetViews>
    <sheetView zoomScale="112" workbookViewId="0">
      <selection activeCell="L36" sqref="L36"/>
    </sheetView>
  </sheetViews>
  <sheetFormatPr baseColWidth="10" defaultColWidth="8.83203125" defaultRowHeight="15" x14ac:dyDescent="0.2"/>
  <cols>
    <col min="1" max="1" width="15.5" style="25" customWidth="1"/>
    <col min="2" max="2" width="8" style="25" customWidth="1"/>
    <col min="3" max="5" width="8.1640625" style="25" customWidth="1"/>
    <col min="6" max="6" width="9.5" style="25" customWidth="1"/>
    <col min="7" max="7" width="8.1640625" style="25" customWidth="1"/>
    <col min="8" max="9" width="8.83203125" style="25"/>
    <col min="10" max="10" width="10.1640625" style="25" customWidth="1"/>
    <col min="11" max="13" width="8.83203125" style="25"/>
    <col min="14" max="14" width="12.5" style="25" customWidth="1"/>
    <col min="15" max="15" width="11.6640625" style="25" customWidth="1"/>
    <col min="16" max="17" width="12" style="25" customWidth="1"/>
    <col min="18" max="18" width="12.33203125" style="25" customWidth="1"/>
    <col min="19" max="19" width="10.83203125" style="25" customWidth="1"/>
    <col min="20" max="16384" width="8.83203125" style="25"/>
  </cols>
  <sheetData>
    <row r="1" spans="1:19" x14ac:dyDescent="0.2">
      <c r="C1" s="26"/>
      <c r="D1" s="26"/>
      <c r="E1" s="26"/>
      <c r="F1" s="26"/>
      <c r="G1" s="26"/>
      <c r="H1" s="26"/>
    </row>
    <row r="3" spans="1:19" ht="16" thickBot="1" x14ac:dyDescent="0.25">
      <c r="A3" s="63" t="s">
        <v>52</v>
      </c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5"/>
    </row>
    <row r="4" spans="1:19" x14ac:dyDescent="0.2">
      <c r="A4" s="66" t="s">
        <v>53</v>
      </c>
      <c r="B4" s="68" t="s">
        <v>54</v>
      </c>
      <c r="C4" s="69"/>
      <c r="D4" s="54" t="s">
        <v>55</v>
      </c>
      <c r="E4" s="69"/>
      <c r="F4" s="54" t="s">
        <v>56</v>
      </c>
      <c r="G4" s="69"/>
      <c r="H4" s="54" t="s">
        <v>57</v>
      </c>
      <c r="I4" s="69"/>
      <c r="J4" s="54" t="s">
        <v>58</v>
      </c>
      <c r="K4" s="69"/>
      <c r="L4" s="54" t="s">
        <v>59</v>
      </c>
      <c r="M4" s="69"/>
      <c r="N4" s="54" t="s">
        <v>60</v>
      </c>
      <c r="O4" s="69"/>
      <c r="P4" s="54" t="s">
        <v>61</v>
      </c>
      <c r="Q4" s="55"/>
      <c r="R4" s="54" t="s">
        <v>62</v>
      </c>
      <c r="S4" s="55"/>
    </row>
    <row r="5" spans="1:19" x14ac:dyDescent="0.2">
      <c r="A5" s="67"/>
      <c r="B5" s="27" t="s">
        <v>63</v>
      </c>
      <c r="C5" s="28" t="s">
        <v>64</v>
      </c>
      <c r="D5" s="28" t="s">
        <v>63</v>
      </c>
      <c r="E5" s="28" t="s">
        <v>64</v>
      </c>
      <c r="F5" s="28" t="s">
        <v>63</v>
      </c>
      <c r="G5" s="28" t="s">
        <v>64</v>
      </c>
      <c r="H5" s="28" t="s">
        <v>63</v>
      </c>
      <c r="I5" s="28" t="s">
        <v>64</v>
      </c>
      <c r="J5" s="28" t="s">
        <v>63</v>
      </c>
      <c r="K5" s="28" t="s">
        <v>64</v>
      </c>
      <c r="L5" s="28" t="s">
        <v>63</v>
      </c>
      <c r="M5" s="28" t="s">
        <v>64</v>
      </c>
      <c r="N5" s="28" t="s">
        <v>63</v>
      </c>
      <c r="O5" s="28" t="s">
        <v>64</v>
      </c>
      <c r="P5" s="28" t="s">
        <v>63</v>
      </c>
      <c r="Q5" s="29" t="s">
        <v>64</v>
      </c>
      <c r="R5" s="28" t="s">
        <v>63</v>
      </c>
      <c r="S5" s="29" t="s">
        <v>64</v>
      </c>
    </row>
    <row r="6" spans="1:19" x14ac:dyDescent="0.2">
      <c r="A6" s="30" t="s">
        <v>65</v>
      </c>
      <c r="B6" s="31" t="s">
        <v>66</v>
      </c>
      <c r="C6" s="28"/>
      <c r="D6" s="32"/>
      <c r="E6" s="28"/>
      <c r="F6" s="32"/>
      <c r="G6" s="28"/>
      <c r="H6" s="33" t="s">
        <v>66</v>
      </c>
      <c r="I6" s="34"/>
      <c r="J6" s="34"/>
      <c r="K6" s="35" t="s">
        <v>66</v>
      </c>
      <c r="L6" s="32"/>
      <c r="M6" s="35" t="s">
        <v>66</v>
      </c>
      <c r="N6" s="34"/>
      <c r="O6" s="34"/>
      <c r="P6" s="34"/>
      <c r="Q6" s="35" t="s">
        <v>66</v>
      </c>
      <c r="R6" s="33" t="s">
        <v>66</v>
      </c>
      <c r="S6" s="36"/>
    </row>
    <row r="7" spans="1:19" x14ac:dyDescent="0.2">
      <c r="A7" s="30" t="s">
        <v>67</v>
      </c>
      <c r="B7" s="37"/>
      <c r="C7" s="35" t="s">
        <v>66</v>
      </c>
      <c r="D7" s="33" t="s">
        <v>66</v>
      </c>
      <c r="E7" s="28"/>
      <c r="F7" s="28"/>
      <c r="G7" s="35" t="s">
        <v>66</v>
      </c>
      <c r="H7" s="32"/>
      <c r="I7" s="34"/>
      <c r="J7" s="32"/>
      <c r="K7" s="34"/>
      <c r="L7" s="32"/>
      <c r="M7" s="34"/>
      <c r="N7" s="33" t="s">
        <v>66</v>
      </c>
      <c r="O7" s="34"/>
      <c r="P7" s="32"/>
      <c r="Q7" s="35" t="s">
        <v>66</v>
      </c>
      <c r="R7" s="33" t="s">
        <v>66</v>
      </c>
      <c r="S7" s="36"/>
    </row>
    <row r="8" spans="1:19" x14ac:dyDescent="0.2">
      <c r="A8" s="30" t="s">
        <v>68</v>
      </c>
      <c r="B8" s="37"/>
      <c r="C8" s="28"/>
      <c r="D8" s="28"/>
      <c r="E8" s="35" t="s">
        <v>66</v>
      </c>
      <c r="F8" s="28"/>
      <c r="G8" s="28"/>
      <c r="H8" s="32"/>
      <c r="I8" s="35" t="s">
        <v>66</v>
      </c>
      <c r="J8" s="33" t="s">
        <v>66</v>
      </c>
      <c r="K8" s="34"/>
      <c r="L8" s="33" t="s">
        <v>66</v>
      </c>
      <c r="M8" s="34"/>
      <c r="N8" s="32"/>
      <c r="O8" s="35" t="s">
        <v>66</v>
      </c>
      <c r="P8" s="32"/>
      <c r="Q8" s="36"/>
      <c r="R8" s="33" t="s">
        <v>66</v>
      </c>
      <c r="S8" s="36"/>
    </row>
    <row r="9" spans="1:19" x14ac:dyDescent="0.2">
      <c r="A9" s="30" t="s">
        <v>69</v>
      </c>
      <c r="B9" s="31" t="s">
        <v>66</v>
      </c>
      <c r="C9" s="28"/>
      <c r="D9" s="33" t="s">
        <v>66</v>
      </c>
      <c r="E9" s="28"/>
      <c r="F9" s="31" t="s">
        <v>66</v>
      </c>
      <c r="G9" s="28"/>
      <c r="H9" s="32"/>
      <c r="I9" s="35" t="s">
        <v>66</v>
      </c>
      <c r="J9" s="34"/>
      <c r="K9" s="34"/>
      <c r="L9" s="34"/>
      <c r="M9" s="34"/>
      <c r="N9" s="32"/>
      <c r="O9" s="34"/>
      <c r="P9" s="32"/>
      <c r="Q9" s="35" t="s">
        <v>66</v>
      </c>
      <c r="R9" s="32"/>
      <c r="S9" s="35" t="s">
        <v>66</v>
      </c>
    </row>
    <row r="10" spans="1:19" ht="16" thickBot="1" x14ac:dyDescent="0.25">
      <c r="A10" s="38" t="s">
        <v>70</v>
      </c>
      <c r="B10" s="39"/>
      <c r="C10" s="35" t="s">
        <v>66</v>
      </c>
      <c r="D10" s="31" t="s">
        <v>66</v>
      </c>
      <c r="E10" s="40"/>
      <c r="F10" s="40"/>
      <c r="G10" s="35" t="s">
        <v>66</v>
      </c>
      <c r="H10" s="40"/>
      <c r="I10" s="40"/>
      <c r="J10" s="31" t="s">
        <v>66</v>
      </c>
      <c r="K10" s="40"/>
      <c r="L10" s="40"/>
      <c r="M10" s="35" t="s">
        <v>66</v>
      </c>
      <c r="N10" s="40"/>
      <c r="O10" s="40"/>
      <c r="P10" s="31" t="s">
        <v>66</v>
      </c>
      <c r="Q10" s="41"/>
      <c r="R10" s="42"/>
      <c r="S10" s="41"/>
    </row>
    <row r="13" spans="1:19" ht="16" thickBot="1" x14ac:dyDescent="0.25">
      <c r="A13" s="56" t="s">
        <v>71</v>
      </c>
      <c r="B13" s="57"/>
      <c r="C13" s="57"/>
      <c r="D13" s="57"/>
      <c r="E13" s="57"/>
      <c r="F13" s="57"/>
      <c r="G13" s="57"/>
      <c r="H13" s="57"/>
      <c r="I13" s="57"/>
      <c r="J13" s="57"/>
      <c r="K13" s="57"/>
      <c r="L13" s="43"/>
      <c r="M13" s="43"/>
      <c r="N13" s="43"/>
      <c r="O13" s="43"/>
      <c r="P13" s="43"/>
      <c r="Q13" s="43"/>
    </row>
    <row r="14" spans="1:19" x14ac:dyDescent="0.2">
      <c r="A14" s="58" t="s">
        <v>53</v>
      </c>
      <c r="B14" s="60" t="s">
        <v>72</v>
      </c>
      <c r="C14" s="61"/>
      <c r="D14" s="61" t="s">
        <v>73</v>
      </c>
      <c r="E14" s="61"/>
      <c r="F14" s="61" t="s">
        <v>74</v>
      </c>
      <c r="G14" s="61"/>
      <c r="H14" s="61" t="s">
        <v>75</v>
      </c>
      <c r="I14" s="61"/>
      <c r="J14" s="61" t="s">
        <v>76</v>
      </c>
      <c r="K14" s="62"/>
      <c r="L14" s="53"/>
      <c r="M14" s="53"/>
      <c r="N14" s="53"/>
      <c r="O14" s="53"/>
      <c r="P14" s="53"/>
      <c r="Q14" s="53"/>
    </row>
    <row r="15" spans="1:19" x14ac:dyDescent="0.2">
      <c r="A15" s="59"/>
      <c r="B15" s="27" t="s">
        <v>63</v>
      </c>
      <c r="C15" s="28" t="s">
        <v>64</v>
      </c>
      <c r="D15" s="28" t="s">
        <v>63</v>
      </c>
      <c r="E15" s="28" t="s">
        <v>64</v>
      </c>
      <c r="F15" s="28" t="s">
        <v>63</v>
      </c>
      <c r="G15" s="28" t="s">
        <v>64</v>
      </c>
      <c r="H15" s="28" t="s">
        <v>63</v>
      </c>
      <c r="I15" s="28" t="s">
        <v>64</v>
      </c>
      <c r="J15" s="28" t="s">
        <v>63</v>
      </c>
      <c r="K15" s="29" t="s">
        <v>64</v>
      </c>
      <c r="L15" s="26"/>
      <c r="M15" s="26"/>
      <c r="N15" s="26"/>
      <c r="O15" s="26"/>
      <c r="P15" s="26"/>
      <c r="Q15" s="26"/>
    </row>
    <row r="16" spans="1:19" x14ac:dyDescent="0.2">
      <c r="A16" s="30" t="s">
        <v>65</v>
      </c>
      <c r="B16" s="42" t="s">
        <v>66</v>
      </c>
      <c r="C16" s="28"/>
      <c r="D16" s="32"/>
      <c r="E16" s="28"/>
      <c r="F16" s="32"/>
      <c r="G16" s="28"/>
      <c r="H16" s="32" t="s">
        <v>66</v>
      </c>
      <c r="I16" s="34"/>
      <c r="J16" s="32" t="s">
        <v>66</v>
      </c>
      <c r="K16" s="36"/>
      <c r="L16" s="44"/>
    </row>
    <row r="17" spans="1:16" x14ac:dyDescent="0.2">
      <c r="A17" s="30" t="s">
        <v>67</v>
      </c>
      <c r="B17" s="37"/>
      <c r="C17" s="28"/>
      <c r="D17" s="32" t="s">
        <v>66</v>
      </c>
      <c r="E17" s="28"/>
      <c r="F17" s="32" t="s">
        <v>66</v>
      </c>
      <c r="G17" s="28"/>
      <c r="H17" s="32"/>
      <c r="I17" s="34"/>
      <c r="J17" s="32" t="s">
        <v>66</v>
      </c>
      <c r="K17" s="36"/>
      <c r="L17" s="44"/>
      <c r="P17" s="44"/>
    </row>
    <row r="18" spans="1:16" x14ac:dyDescent="0.2">
      <c r="A18" s="30" t="s">
        <v>68</v>
      </c>
      <c r="B18" s="37"/>
      <c r="C18" s="28"/>
      <c r="D18" s="32" t="s">
        <v>66</v>
      </c>
      <c r="E18" s="28"/>
      <c r="F18" s="32" t="s">
        <v>66</v>
      </c>
      <c r="G18" s="28"/>
      <c r="H18" s="32"/>
      <c r="I18" s="34"/>
      <c r="J18" s="32"/>
      <c r="K18" s="36"/>
      <c r="L18" s="44"/>
      <c r="N18" s="44"/>
      <c r="P18" s="44"/>
    </row>
    <row r="19" spans="1:16" x14ac:dyDescent="0.2">
      <c r="A19" s="30" t="s">
        <v>69</v>
      </c>
      <c r="B19" s="37"/>
      <c r="C19" s="28"/>
      <c r="D19" s="32"/>
      <c r="E19" s="28"/>
      <c r="F19" s="28"/>
      <c r="G19" s="28"/>
      <c r="H19" s="32" t="s">
        <v>66</v>
      </c>
      <c r="I19" s="34"/>
      <c r="J19" s="32"/>
      <c r="K19" s="36"/>
      <c r="N19" s="44"/>
      <c r="P19" s="44"/>
    </row>
    <row r="20" spans="1:16" ht="16" thickBot="1" x14ac:dyDescent="0.25">
      <c r="A20" s="38"/>
      <c r="B20" s="39"/>
      <c r="C20" s="40"/>
      <c r="D20" s="40"/>
      <c r="E20" s="40"/>
      <c r="F20" s="40"/>
      <c r="G20" s="40"/>
      <c r="H20" s="40"/>
      <c r="I20" s="40"/>
      <c r="J20" s="40"/>
      <c r="K20" s="41"/>
    </row>
  </sheetData>
  <mergeCells count="21">
    <mergeCell ref="A3:Q3"/>
    <mergeCell ref="A4:A5"/>
    <mergeCell ref="B4:C4"/>
    <mergeCell ref="D4:E4"/>
    <mergeCell ref="F4:G4"/>
    <mergeCell ref="H4:I4"/>
    <mergeCell ref="J4:K4"/>
    <mergeCell ref="L4:M4"/>
    <mergeCell ref="N4:O4"/>
    <mergeCell ref="P4:Q4"/>
    <mergeCell ref="P14:Q14"/>
    <mergeCell ref="R4:S4"/>
    <mergeCell ref="A13:K13"/>
    <mergeCell ref="A14:A15"/>
    <mergeCell ref="B14:C14"/>
    <mergeCell ref="D14:E14"/>
    <mergeCell ref="F14:G14"/>
    <mergeCell ref="H14:I14"/>
    <mergeCell ref="J14:K14"/>
    <mergeCell ref="L14:M14"/>
    <mergeCell ref="N14:O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EC646-9890-9943-8CFB-1BA44CF09031}">
  <dimension ref="A1:I18"/>
  <sheetViews>
    <sheetView zoomScale="131" workbookViewId="0">
      <selection sqref="A1:I21"/>
    </sheetView>
  </sheetViews>
  <sheetFormatPr baseColWidth="10" defaultRowHeight="16" x14ac:dyDescent="0.2"/>
  <sheetData>
    <row r="1" spans="1:9" x14ac:dyDescent="0.2">
      <c r="A1" t="s">
        <v>26</v>
      </c>
    </row>
    <row r="2" spans="1:9" ht="17" thickBot="1" x14ac:dyDescent="0.25"/>
    <row r="3" spans="1:9" x14ac:dyDescent="0.2">
      <c r="A3" s="7" t="s">
        <v>27</v>
      </c>
      <c r="B3" s="7"/>
    </row>
    <row r="4" spans="1:9" x14ac:dyDescent="0.2">
      <c r="A4" s="4" t="s">
        <v>28</v>
      </c>
      <c r="B4" s="4">
        <v>0.7422568514506318</v>
      </c>
    </row>
    <row r="5" spans="1:9" x14ac:dyDescent="0.2">
      <c r="A5" s="4" t="s">
        <v>29</v>
      </c>
      <c r="B5" s="4">
        <v>0.55094523352540536</v>
      </c>
    </row>
    <row r="6" spans="1:9" x14ac:dyDescent="0.2">
      <c r="A6" s="4" t="s">
        <v>30</v>
      </c>
      <c r="B6" s="4">
        <v>0.54735279539360859</v>
      </c>
    </row>
    <row r="7" spans="1:9" x14ac:dyDescent="0.2">
      <c r="A7" s="4" t="s">
        <v>31</v>
      </c>
      <c r="B7" s="4">
        <v>8.9941602091913667E-3</v>
      </c>
    </row>
    <row r="8" spans="1:9" ht="17" thickBot="1" x14ac:dyDescent="0.25">
      <c r="A8" s="5" t="s">
        <v>32</v>
      </c>
      <c r="B8" s="5">
        <v>127</v>
      </c>
    </row>
    <row r="10" spans="1:9" ht="17" thickBot="1" x14ac:dyDescent="0.25">
      <c r="A10" t="s">
        <v>33</v>
      </c>
    </row>
    <row r="11" spans="1:9" x14ac:dyDescent="0.2">
      <c r="A11" s="6"/>
      <c r="B11" s="6" t="s">
        <v>38</v>
      </c>
      <c r="C11" s="6" t="s">
        <v>39</v>
      </c>
      <c r="D11" s="6" t="s">
        <v>40</v>
      </c>
      <c r="E11" s="6" t="s">
        <v>41</v>
      </c>
      <c r="F11" s="6" t="s">
        <v>42</v>
      </c>
    </row>
    <row r="12" spans="1:9" x14ac:dyDescent="0.2">
      <c r="A12" s="4" t="s">
        <v>34</v>
      </c>
      <c r="B12" s="4">
        <v>1</v>
      </c>
      <c r="C12" s="4">
        <v>1.2406245502645309E-2</v>
      </c>
      <c r="D12" s="4">
        <v>1.2406245502645309E-2</v>
      </c>
      <c r="E12" s="4">
        <v>153.36248344793353</v>
      </c>
      <c r="F12" s="4">
        <v>1.770209018076466E-23</v>
      </c>
    </row>
    <row r="13" spans="1:9" x14ac:dyDescent="0.2">
      <c r="A13" s="4" t="s">
        <v>35</v>
      </c>
      <c r="B13" s="4">
        <v>125</v>
      </c>
      <c r="C13" s="4">
        <v>1.0111864733575162E-2</v>
      </c>
      <c r="D13" s="4">
        <v>8.0894917868601303E-5</v>
      </c>
      <c r="E13" s="4"/>
      <c r="F13" s="4"/>
    </row>
    <row r="14" spans="1:9" ht="17" thickBot="1" x14ac:dyDescent="0.25">
      <c r="A14" s="5" t="s">
        <v>36</v>
      </c>
      <c r="B14" s="5">
        <v>126</v>
      </c>
      <c r="C14" s="5">
        <v>2.2518110236220471E-2</v>
      </c>
      <c r="D14" s="5"/>
      <c r="E14" s="5"/>
      <c r="F14" s="5"/>
    </row>
    <row r="15" spans="1:9" ht="17" thickBot="1" x14ac:dyDescent="0.25"/>
    <row r="16" spans="1:9" x14ac:dyDescent="0.2">
      <c r="A16" s="6"/>
      <c r="B16" s="6" t="s">
        <v>43</v>
      </c>
      <c r="C16" s="6" t="s">
        <v>31</v>
      </c>
      <c r="D16" s="6" t="s">
        <v>44</v>
      </c>
      <c r="E16" s="6" t="s">
        <v>45</v>
      </c>
      <c r="F16" s="6" t="s">
        <v>46</v>
      </c>
      <c r="G16" s="6" t="s">
        <v>47</v>
      </c>
      <c r="H16" s="6" t="s">
        <v>48</v>
      </c>
      <c r="I16" s="6" t="s">
        <v>49</v>
      </c>
    </row>
    <row r="17" spans="1:9" x14ac:dyDescent="0.2">
      <c r="A17" s="4" t="s">
        <v>37</v>
      </c>
      <c r="B17" s="4">
        <v>1.1868057974088152E-3</v>
      </c>
      <c r="C17" s="4">
        <v>8.2096270328523848E-4</v>
      </c>
      <c r="D17" s="4">
        <v>1.4456269361075551</v>
      </c>
      <c r="E17" s="4">
        <v>0.15078437695628166</v>
      </c>
      <c r="F17" s="4">
        <v>-4.3798128160073713E-4</v>
      </c>
      <c r="G17" s="4">
        <v>2.8115928764183675E-3</v>
      </c>
      <c r="H17" s="4">
        <v>-4.3798128160073713E-4</v>
      </c>
      <c r="I17" s="4">
        <v>2.8115928764183675E-3</v>
      </c>
    </row>
    <row r="18" spans="1:9" ht="17" thickBot="1" x14ac:dyDescent="0.25">
      <c r="A18" s="5" t="s">
        <v>50</v>
      </c>
      <c r="B18" s="5">
        <v>0.2369425714401569</v>
      </c>
      <c r="C18" s="5">
        <v>1.9133020246093323E-2</v>
      </c>
      <c r="D18" s="5">
        <v>12.383960733462196</v>
      </c>
      <c r="E18" s="5">
        <v>1.770209018076466E-23</v>
      </c>
      <c r="F18" s="5">
        <v>0.19907594978501994</v>
      </c>
      <c r="G18" s="5">
        <v>0.27480919309529389</v>
      </c>
      <c r="H18" s="5">
        <v>0.19907594978501994</v>
      </c>
      <c r="I18" s="5">
        <v>0.27480919309529389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131"/>
  <sheetViews>
    <sheetView workbookViewId="0">
      <selection activeCell="Q13" sqref="Q13"/>
    </sheetView>
  </sheetViews>
  <sheetFormatPr baseColWidth="10" defaultColWidth="11" defaultRowHeight="16" x14ac:dyDescent="0.2"/>
  <cols>
    <col min="1" max="1" width="9.83203125" bestFit="1" customWidth="1"/>
    <col min="2" max="2" width="9.1640625" bestFit="1" customWidth="1"/>
    <col min="3" max="3" width="9.83203125" bestFit="1" customWidth="1"/>
    <col min="4" max="4" width="10.5" bestFit="1" customWidth="1"/>
    <col min="5" max="5" width="22.1640625" bestFit="1" customWidth="1"/>
    <col min="6" max="6" width="13.83203125" customWidth="1"/>
    <col min="7" max="7" width="15.1640625" customWidth="1"/>
    <col min="8" max="8" width="18.5" customWidth="1"/>
    <col min="9" max="9" width="26.33203125" bestFit="1" customWidth="1"/>
    <col min="10" max="10" width="17.33203125" customWidth="1"/>
    <col min="11" max="11" width="17.5" bestFit="1" customWidth="1"/>
    <col min="16" max="16" width="33.83203125" bestFit="1" customWidth="1"/>
    <col min="17" max="17" width="16.83203125" bestFit="1" customWidth="1"/>
    <col min="18" max="18" width="12.1640625" bestFit="1" customWidth="1"/>
    <col min="19" max="19" width="19.6640625" bestFit="1" customWidth="1"/>
    <col min="20" max="20" width="20.1640625" bestFit="1" customWidth="1"/>
  </cols>
  <sheetData>
    <row r="1" spans="1:18" ht="51" x14ac:dyDescent="0.2">
      <c r="A1" s="8" t="s">
        <v>0</v>
      </c>
      <c r="B1" s="9" t="s">
        <v>1</v>
      </c>
      <c r="C1" s="9" t="s">
        <v>2</v>
      </c>
      <c r="D1" s="9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/>
      <c r="L1" s="8" t="s">
        <v>10</v>
      </c>
      <c r="M1" s="8" t="s">
        <v>11</v>
      </c>
      <c r="N1" s="8" t="s">
        <v>12</v>
      </c>
      <c r="O1" s="8"/>
      <c r="P1" s="8" t="s">
        <v>13</v>
      </c>
    </row>
    <row r="2" spans="1:18" ht="17" thickBot="1" x14ac:dyDescent="0.25">
      <c r="A2" s="1">
        <v>40940</v>
      </c>
      <c r="B2">
        <v>0</v>
      </c>
      <c r="C2">
        <v>0</v>
      </c>
      <c r="D2">
        <v>0</v>
      </c>
      <c r="E2">
        <v>111.84262099999999</v>
      </c>
      <c r="H2" s="2">
        <v>1000000</v>
      </c>
      <c r="I2" s="2">
        <v>1000000</v>
      </c>
      <c r="J2" s="2">
        <v>1000000</v>
      </c>
      <c r="L2">
        <v>0</v>
      </c>
      <c r="M2">
        <v>0</v>
      </c>
      <c r="N2">
        <v>0</v>
      </c>
    </row>
    <row r="3" spans="1:18" x14ac:dyDescent="0.2">
      <c r="A3" s="1">
        <v>40969</v>
      </c>
      <c r="B3" s="3">
        <v>1.6E-2</v>
      </c>
      <c r="C3" s="3">
        <v>-5.2999999999999999E-2</v>
      </c>
      <c r="D3" s="3">
        <v>-1.9E-2</v>
      </c>
      <c r="E3">
        <v>114.93620300000001</v>
      </c>
      <c r="F3" s="3">
        <v>2.8000000000000001E-2</v>
      </c>
      <c r="G3" s="3">
        <v>5.0000000000000001E-4</v>
      </c>
      <c r="H3" s="2">
        <v>980803</v>
      </c>
      <c r="I3" s="2">
        <v>1039707</v>
      </c>
      <c r="J3" s="2">
        <v>1000500</v>
      </c>
      <c r="L3">
        <v>0</v>
      </c>
      <c r="M3">
        <v>1</v>
      </c>
      <c r="N3">
        <v>1</v>
      </c>
      <c r="P3" s="10" t="s">
        <v>14</v>
      </c>
      <c r="Q3" s="18" t="s">
        <v>15</v>
      </c>
      <c r="R3" s="11" t="s">
        <v>16</v>
      </c>
    </row>
    <row r="4" spans="1:18" x14ac:dyDescent="0.2">
      <c r="A4" s="1">
        <v>41001</v>
      </c>
      <c r="B4" s="3">
        <v>2.9000000000000001E-2</v>
      </c>
      <c r="C4" s="3">
        <v>2E-3</v>
      </c>
      <c r="D4" s="3">
        <v>5.3999999999999999E-2</v>
      </c>
      <c r="E4">
        <v>114.669281</v>
      </c>
      <c r="F4" s="3">
        <v>-2E-3</v>
      </c>
      <c r="G4" s="3">
        <v>-4.0000000000000002E-4</v>
      </c>
      <c r="H4" s="2">
        <v>1033327</v>
      </c>
      <c r="I4" s="2">
        <v>1075426</v>
      </c>
      <c r="J4" s="2">
        <v>1000100</v>
      </c>
      <c r="L4">
        <v>1</v>
      </c>
      <c r="M4">
        <v>0</v>
      </c>
      <c r="N4">
        <v>0</v>
      </c>
      <c r="P4" s="12" t="s">
        <v>51</v>
      </c>
      <c r="Q4" s="19">
        <f>STDEV(D2:D129)*100</f>
        <v>6.5397044092101382</v>
      </c>
      <c r="R4" s="13">
        <v>4.1878567289999999</v>
      </c>
    </row>
    <row r="5" spans="1:18" x14ac:dyDescent="0.2">
      <c r="A5" s="1">
        <v>41030</v>
      </c>
      <c r="B5" s="3">
        <v>-5.0000000000000001E-3</v>
      </c>
      <c r="C5" s="3">
        <v>2.1000000000000001E-2</v>
      </c>
      <c r="D5" s="3">
        <v>0.01</v>
      </c>
      <c r="E5">
        <v>107.78272200000001</v>
      </c>
      <c r="F5" s="3">
        <v>-0.06</v>
      </c>
      <c r="G5" s="3">
        <v>-1.3299999999999999E-2</v>
      </c>
      <c r="H5" s="2">
        <v>1043532</v>
      </c>
      <c r="I5" s="2">
        <v>1067085</v>
      </c>
      <c r="J5" s="2">
        <v>986798</v>
      </c>
      <c r="L5">
        <v>1</v>
      </c>
      <c r="M5">
        <v>0</v>
      </c>
      <c r="N5">
        <v>0</v>
      </c>
      <c r="P5" s="12" t="s">
        <v>17</v>
      </c>
      <c r="Q5" s="19">
        <f>STDEV(B3:B129)*100</f>
        <v>4.7245946678686668</v>
      </c>
      <c r="R5" s="13">
        <v>0</v>
      </c>
    </row>
    <row r="6" spans="1:18" x14ac:dyDescent="0.2">
      <c r="A6" s="1">
        <v>41061</v>
      </c>
      <c r="B6" s="3">
        <v>-2.5999999999999999E-2</v>
      </c>
      <c r="C6" s="3">
        <v>0.152</v>
      </c>
      <c r="D6" s="3">
        <v>0.09</v>
      </c>
      <c r="E6">
        <v>111.57854500000001</v>
      </c>
      <c r="F6" s="3">
        <v>3.5000000000000003E-2</v>
      </c>
      <c r="G6" s="3">
        <v>-4.0000000000000001E-3</v>
      </c>
      <c r="H6" s="2">
        <v>1137934</v>
      </c>
      <c r="I6" s="2">
        <v>971704</v>
      </c>
      <c r="J6" s="2">
        <v>982851</v>
      </c>
      <c r="L6">
        <v>1</v>
      </c>
      <c r="M6">
        <v>1</v>
      </c>
      <c r="N6">
        <v>0</v>
      </c>
      <c r="P6" s="12" t="s">
        <v>18</v>
      </c>
      <c r="Q6" s="19">
        <f>STDEV(C2:C129)*100</f>
        <v>5.9648049119644542</v>
      </c>
      <c r="R6" s="13">
        <v>0</v>
      </c>
    </row>
    <row r="7" spans="1:18" x14ac:dyDescent="0.2">
      <c r="A7" s="1">
        <v>41092</v>
      </c>
      <c r="B7" s="3">
        <v>6.5000000000000002E-2</v>
      </c>
      <c r="C7" s="3">
        <v>-5.7000000000000002E-2</v>
      </c>
      <c r="D7" s="3">
        <v>6.6000000000000003E-2</v>
      </c>
      <c r="E7">
        <v>113.483429</v>
      </c>
      <c r="F7" s="3">
        <v>1.7000000000000001E-2</v>
      </c>
      <c r="G7" s="3">
        <v>1.4200000000000001E-2</v>
      </c>
      <c r="H7" s="2">
        <v>1212538</v>
      </c>
      <c r="I7" s="2">
        <v>1040376</v>
      </c>
      <c r="J7" s="2">
        <v>996808</v>
      </c>
      <c r="L7">
        <v>1</v>
      </c>
      <c r="M7">
        <v>1</v>
      </c>
      <c r="N7">
        <v>1</v>
      </c>
      <c r="P7" s="12" t="s">
        <v>19</v>
      </c>
      <c r="Q7" s="20">
        <v>6.8877398939739471</v>
      </c>
      <c r="R7" s="13">
        <v>1</v>
      </c>
    </row>
    <row r="8" spans="1:18" x14ac:dyDescent="0.2">
      <c r="A8" s="1">
        <v>41122</v>
      </c>
      <c r="B8" s="3">
        <v>-2E-3</v>
      </c>
      <c r="C8" s="3">
        <v>-2.1999999999999999E-2</v>
      </c>
      <c r="D8" s="3">
        <v>-2.3E-2</v>
      </c>
      <c r="E8">
        <v>116.32643899999999</v>
      </c>
      <c r="F8" s="3">
        <v>2.5000000000000001E-2</v>
      </c>
      <c r="G8" s="3">
        <v>8.3999999999999995E-3</v>
      </c>
      <c r="H8" s="2">
        <v>1184654</v>
      </c>
      <c r="I8" s="2">
        <v>1048608</v>
      </c>
      <c r="J8" s="2">
        <v>1005181</v>
      </c>
      <c r="L8">
        <v>0</v>
      </c>
      <c r="M8">
        <v>1</v>
      </c>
      <c r="N8">
        <v>1</v>
      </c>
      <c r="P8" s="12" t="s">
        <v>20</v>
      </c>
      <c r="Q8" s="21">
        <v>5.8999999999999997E-2</v>
      </c>
      <c r="R8" s="14">
        <v>5.8999999999999997E-2</v>
      </c>
    </row>
    <row r="9" spans="1:18" x14ac:dyDescent="0.2">
      <c r="A9" s="1">
        <v>41156</v>
      </c>
      <c r="B9" s="3">
        <v>5.0000000000000001E-3</v>
      </c>
      <c r="C9" s="3">
        <v>-2.7E-2</v>
      </c>
      <c r="D9" s="3">
        <v>-1.6E-2</v>
      </c>
      <c r="E9">
        <v>118.642128</v>
      </c>
      <c r="F9" s="3">
        <v>0.02</v>
      </c>
      <c r="G9" s="3">
        <v>1.04E-2</v>
      </c>
      <c r="H9" s="2">
        <v>1165497</v>
      </c>
      <c r="I9" s="2">
        <v>1074825</v>
      </c>
      <c r="J9" s="2">
        <v>1015635</v>
      </c>
      <c r="L9">
        <v>0</v>
      </c>
      <c r="M9">
        <v>1</v>
      </c>
      <c r="N9">
        <v>1</v>
      </c>
      <c r="P9" s="12" t="s">
        <v>21</v>
      </c>
      <c r="Q9" s="21">
        <v>0.31590000000000001</v>
      </c>
      <c r="R9" s="14">
        <v>0.1207</v>
      </c>
    </row>
    <row r="10" spans="1:18" x14ac:dyDescent="0.2">
      <c r="A10" s="1">
        <v>41183</v>
      </c>
      <c r="B10" s="3">
        <v>2.5000000000000001E-2</v>
      </c>
      <c r="C10" s="3">
        <v>-2.7E-2</v>
      </c>
      <c r="D10" s="3">
        <v>0.02</v>
      </c>
      <c r="E10">
        <v>117.104866</v>
      </c>
      <c r="F10" s="3">
        <v>-1.2999999999999999E-2</v>
      </c>
      <c r="G10" s="3">
        <v>-1.8E-3</v>
      </c>
      <c r="H10" s="2">
        <v>1188934</v>
      </c>
      <c r="I10" s="2">
        <v>1106000</v>
      </c>
      <c r="J10" s="2">
        <v>1013807</v>
      </c>
      <c r="L10">
        <v>1</v>
      </c>
      <c r="M10">
        <v>0</v>
      </c>
      <c r="N10">
        <v>0</v>
      </c>
      <c r="P10" s="12" t="s">
        <v>22</v>
      </c>
      <c r="Q10" s="19">
        <v>25.69</v>
      </c>
      <c r="R10" s="13">
        <v>6.17</v>
      </c>
    </row>
    <row r="11" spans="1:18" x14ac:dyDescent="0.2">
      <c r="A11" s="1">
        <v>41214</v>
      </c>
      <c r="B11" s="3">
        <v>-6.0000000000000001E-3</v>
      </c>
      <c r="C11" s="3">
        <v>7.0000000000000001E-3</v>
      </c>
      <c r="D11" s="3">
        <v>-5.0000000000000001E-3</v>
      </c>
      <c r="E11">
        <v>117.767639</v>
      </c>
      <c r="F11" s="3">
        <v>6.0000000000000001E-3</v>
      </c>
      <c r="G11" s="3">
        <v>6.4000000000000003E-3</v>
      </c>
      <c r="H11" s="2">
        <v>1183546</v>
      </c>
      <c r="I11" s="2">
        <v>1094354</v>
      </c>
      <c r="J11" s="2">
        <v>1020295</v>
      </c>
      <c r="L11">
        <v>0</v>
      </c>
      <c r="M11">
        <v>1</v>
      </c>
      <c r="N11">
        <v>1</v>
      </c>
      <c r="P11" s="12" t="s">
        <v>23</v>
      </c>
      <c r="Q11" s="22">
        <f>Q10/Q4</f>
        <v>3.9283121059446819</v>
      </c>
      <c r="R11" s="15">
        <f>R10/R4</f>
        <v>1.4733073262210925</v>
      </c>
    </row>
    <row r="12" spans="1:18" x14ac:dyDescent="0.2">
      <c r="A12" s="1">
        <v>41246</v>
      </c>
      <c r="B12" s="3">
        <v>-1.7000000000000001E-2</v>
      </c>
      <c r="C12" s="3">
        <v>5.0000000000000001E-3</v>
      </c>
      <c r="D12" s="3">
        <v>-2.7E-2</v>
      </c>
      <c r="E12">
        <v>117.982986</v>
      </c>
      <c r="F12" s="3">
        <v>2E-3</v>
      </c>
      <c r="G12" s="3">
        <v>1.4800000000000001E-2</v>
      </c>
      <c r="H12" s="2">
        <v>1151740</v>
      </c>
      <c r="I12" s="2">
        <v>1083780</v>
      </c>
      <c r="J12" s="2">
        <v>1035395</v>
      </c>
      <c r="L12">
        <v>0</v>
      </c>
      <c r="M12">
        <v>1</v>
      </c>
      <c r="N12">
        <v>1</v>
      </c>
      <c r="P12" s="12" t="s">
        <v>24</v>
      </c>
      <c r="Q12" s="23">
        <f>Q10/Q7</f>
        <v>3.729815642788147</v>
      </c>
      <c r="R12" s="13">
        <f>R10/R7</f>
        <v>6.17</v>
      </c>
    </row>
    <row r="13" spans="1:18" ht="17" thickBot="1" x14ac:dyDescent="0.25">
      <c r="A13" s="1">
        <v>41276</v>
      </c>
      <c r="B13" s="3">
        <v>2.9000000000000001E-2</v>
      </c>
      <c r="C13" s="3">
        <v>-6.5000000000000002E-2</v>
      </c>
      <c r="D13" s="3">
        <v>-6.0000000000000001E-3</v>
      </c>
      <c r="E13">
        <v>124.90222199999999</v>
      </c>
      <c r="F13" s="3">
        <v>5.8999999999999997E-2</v>
      </c>
      <c r="G13" s="3">
        <v>2.07E-2</v>
      </c>
      <c r="H13" s="2">
        <v>1144429</v>
      </c>
      <c r="I13" s="2">
        <v>1127039</v>
      </c>
      <c r="J13" s="2">
        <v>1056828</v>
      </c>
      <c r="L13">
        <v>0</v>
      </c>
      <c r="M13">
        <v>1</v>
      </c>
      <c r="N13">
        <v>1</v>
      </c>
      <c r="P13" s="16" t="s">
        <v>25</v>
      </c>
      <c r="Q13" s="24">
        <f>SUM(L2:L129)/COUNT(L2:L129)</f>
        <v>0.6796875</v>
      </c>
      <c r="R13" s="17">
        <f>SUM(M2:M129)/COUNT(M2:M129)</f>
        <v>0.6796875</v>
      </c>
    </row>
    <row r="14" spans="1:18" x14ac:dyDescent="0.2">
      <c r="A14" s="1">
        <v>41306</v>
      </c>
      <c r="B14" s="3">
        <v>4.7E-2</v>
      </c>
      <c r="C14" s="3">
        <v>-5.7000000000000002E-2</v>
      </c>
      <c r="D14" s="3">
        <v>3.3000000000000002E-2</v>
      </c>
      <c r="E14">
        <v>126.495819</v>
      </c>
      <c r="F14" s="3">
        <v>1.2999999999999999E-2</v>
      </c>
      <c r="G14" s="3">
        <v>2.3999999999999998E-3</v>
      </c>
      <c r="H14" s="2">
        <v>1181909</v>
      </c>
      <c r="I14" s="2">
        <v>1167010</v>
      </c>
      <c r="J14" s="2">
        <v>1059364</v>
      </c>
      <c r="L14">
        <v>1</v>
      </c>
      <c r="M14">
        <v>1</v>
      </c>
      <c r="N14">
        <v>1</v>
      </c>
    </row>
    <row r="15" spans="1:18" x14ac:dyDescent="0.2">
      <c r="A15" s="1">
        <v>41334</v>
      </c>
      <c r="B15" s="3">
        <v>1.2E-2</v>
      </c>
      <c r="C15" s="3">
        <v>0.02</v>
      </c>
      <c r="D15" s="3">
        <v>3.9E-2</v>
      </c>
      <c r="E15">
        <v>130.71765099999999</v>
      </c>
      <c r="F15" s="3">
        <v>3.3000000000000002E-2</v>
      </c>
      <c r="G15" s="3">
        <v>1.21E-2</v>
      </c>
      <c r="H15" s="2">
        <v>1228474</v>
      </c>
      <c r="I15" s="2">
        <v>1173722</v>
      </c>
      <c r="J15" s="2">
        <v>1072183</v>
      </c>
      <c r="L15">
        <v>1</v>
      </c>
      <c r="M15">
        <v>1</v>
      </c>
      <c r="N15">
        <v>1</v>
      </c>
    </row>
    <row r="16" spans="1:18" x14ac:dyDescent="0.2">
      <c r="A16" s="1">
        <v>41365</v>
      </c>
      <c r="B16" s="3">
        <v>5.1999999999999998E-2</v>
      </c>
      <c r="C16" s="3">
        <v>-1.0999999999999999E-2</v>
      </c>
      <c r="D16" s="3">
        <v>8.4000000000000005E-2</v>
      </c>
      <c r="E16">
        <v>133.82154800000001</v>
      </c>
      <c r="F16" s="3">
        <v>2.4E-2</v>
      </c>
      <c r="G16" s="3">
        <v>1.3899999999999999E-2</v>
      </c>
      <c r="H16" s="2">
        <v>1331675</v>
      </c>
      <c r="I16" s="2">
        <v>1209480</v>
      </c>
      <c r="J16" s="2">
        <v>1087086</v>
      </c>
      <c r="L16">
        <v>1</v>
      </c>
      <c r="M16">
        <v>1</v>
      </c>
      <c r="N16">
        <v>1</v>
      </c>
    </row>
    <row r="17" spans="1:16" x14ac:dyDescent="0.2">
      <c r="A17" s="1">
        <v>41395</v>
      </c>
      <c r="B17" s="3">
        <v>-1E-3</v>
      </c>
      <c r="C17" s="3">
        <v>-1.6E-2</v>
      </c>
      <c r="D17" s="3">
        <v>-1.6E-2</v>
      </c>
      <c r="E17">
        <v>136.98109400000001</v>
      </c>
      <c r="F17" s="3">
        <v>2.4E-2</v>
      </c>
      <c r="G17" s="3">
        <v>4.1999999999999997E-3</v>
      </c>
      <c r="H17" s="2">
        <v>1309852</v>
      </c>
      <c r="I17" s="2">
        <v>1226764</v>
      </c>
      <c r="J17" s="2">
        <v>1091652</v>
      </c>
      <c r="L17">
        <v>0</v>
      </c>
      <c r="M17">
        <v>1</v>
      </c>
      <c r="N17">
        <v>1</v>
      </c>
    </row>
    <row r="18" spans="1:16" x14ac:dyDescent="0.2">
      <c r="A18" s="1">
        <v>41428</v>
      </c>
      <c r="B18" s="3">
        <v>0.05</v>
      </c>
      <c r="C18" s="3">
        <v>-2.4E-2</v>
      </c>
      <c r="D18" s="3">
        <v>6.9000000000000006E-2</v>
      </c>
      <c r="E18">
        <v>134.441757</v>
      </c>
      <c r="F18" s="3">
        <v>-1.9E-2</v>
      </c>
      <c r="G18" s="3">
        <v>-1.66E-2</v>
      </c>
      <c r="H18" s="2">
        <v>1400020</v>
      </c>
      <c r="I18" s="2">
        <v>1273810</v>
      </c>
      <c r="J18" s="2">
        <v>1073530</v>
      </c>
      <c r="L18">
        <v>1</v>
      </c>
      <c r="M18">
        <v>0</v>
      </c>
      <c r="N18">
        <v>0</v>
      </c>
    </row>
    <row r="19" spans="1:16" x14ac:dyDescent="0.2">
      <c r="A19" s="1">
        <v>41456</v>
      </c>
      <c r="B19" s="3">
        <v>-1.7000000000000001E-2</v>
      </c>
      <c r="C19" s="3">
        <v>-2E-3</v>
      </c>
      <c r="D19" s="3">
        <v>-3.2000000000000001E-2</v>
      </c>
      <c r="E19">
        <v>142.13742099999999</v>
      </c>
      <c r="F19" s="3">
        <v>5.7000000000000002E-2</v>
      </c>
      <c r="G19" s="3">
        <v>8.8000000000000005E-3</v>
      </c>
      <c r="H19" s="2">
        <v>1355182</v>
      </c>
      <c r="I19" s="2">
        <v>1257254</v>
      </c>
      <c r="J19" s="2">
        <v>1082978</v>
      </c>
      <c r="L19">
        <v>0</v>
      </c>
      <c r="M19">
        <v>1</v>
      </c>
      <c r="N19">
        <v>1</v>
      </c>
      <c r="P19">
        <f>CORREL(F3:F129,G3:G129)</f>
        <v>0.74225685145063214</v>
      </c>
    </row>
    <row r="20" spans="1:16" x14ac:dyDescent="0.2">
      <c r="A20" s="1">
        <v>41487</v>
      </c>
      <c r="B20" s="3">
        <v>6.6000000000000003E-2</v>
      </c>
      <c r="C20" s="3">
        <v>-6.4000000000000001E-2</v>
      </c>
      <c r="D20" s="3">
        <v>6.2E-2</v>
      </c>
      <c r="E20">
        <v>137.874359</v>
      </c>
      <c r="F20" s="3">
        <v>-0.03</v>
      </c>
      <c r="G20" s="3">
        <v>-5.4000000000000003E-3</v>
      </c>
      <c r="H20" s="2">
        <v>1438754</v>
      </c>
      <c r="I20" s="2">
        <v>1329715</v>
      </c>
      <c r="J20" s="2">
        <v>1077129</v>
      </c>
      <c r="L20">
        <v>1</v>
      </c>
      <c r="M20">
        <v>0</v>
      </c>
      <c r="N20">
        <v>0</v>
      </c>
    </row>
    <row r="21" spans="1:16" x14ac:dyDescent="0.2">
      <c r="A21" s="1">
        <v>41520</v>
      </c>
      <c r="B21" s="3">
        <v>-3.3000000000000002E-2</v>
      </c>
      <c r="C21" s="3">
        <v>0.06</v>
      </c>
      <c r="D21" s="3">
        <v>-5.0000000000000001E-3</v>
      </c>
      <c r="E21">
        <v>141.54769899999999</v>
      </c>
      <c r="F21" s="3">
        <v>2.7E-2</v>
      </c>
      <c r="G21" s="3">
        <v>1.2699999999999999E-2</v>
      </c>
      <c r="H21" s="2">
        <v>1431565</v>
      </c>
      <c r="I21" s="2">
        <v>1280862</v>
      </c>
      <c r="J21" s="2">
        <v>1090809</v>
      </c>
      <c r="L21">
        <v>0</v>
      </c>
      <c r="M21">
        <v>1</v>
      </c>
      <c r="N21">
        <v>1</v>
      </c>
    </row>
    <row r="22" spans="1:16" x14ac:dyDescent="0.2">
      <c r="A22" s="1">
        <v>41548</v>
      </c>
      <c r="B22" s="3">
        <v>5.6000000000000001E-2</v>
      </c>
      <c r="C22" s="3">
        <v>-2.9000000000000001E-2</v>
      </c>
      <c r="D22" s="3">
        <v>7.4999999999999997E-2</v>
      </c>
      <c r="E22">
        <v>148.82415800000001</v>
      </c>
      <c r="F22" s="3">
        <v>5.0999999999999997E-2</v>
      </c>
      <c r="G22" s="3">
        <v>1.5900000000000001E-2</v>
      </c>
      <c r="H22" s="2">
        <v>1539078</v>
      </c>
      <c r="I22" s="2">
        <v>1325862</v>
      </c>
      <c r="J22" s="2">
        <v>1108153</v>
      </c>
      <c r="L22">
        <v>1</v>
      </c>
      <c r="M22">
        <v>1</v>
      </c>
      <c r="N22">
        <v>1</v>
      </c>
    </row>
    <row r="23" spans="1:16" x14ac:dyDescent="0.2">
      <c r="A23" s="1">
        <v>41579</v>
      </c>
      <c r="B23" s="3">
        <v>3.3000000000000002E-2</v>
      </c>
      <c r="C23" s="3">
        <v>-4.3999999999999997E-2</v>
      </c>
      <c r="D23" s="3">
        <v>0.02</v>
      </c>
      <c r="E23">
        <v>153.23493999999999</v>
      </c>
      <c r="F23" s="3">
        <v>0.03</v>
      </c>
      <c r="G23" s="3">
        <v>1.3100000000000001E-2</v>
      </c>
      <c r="H23" s="2">
        <v>1569166</v>
      </c>
      <c r="I23" s="2">
        <v>1379651</v>
      </c>
      <c r="J23" s="2">
        <v>1122670</v>
      </c>
      <c r="L23">
        <v>1</v>
      </c>
      <c r="M23">
        <v>1</v>
      </c>
      <c r="N23">
        <v>1</v>
      </c>
    </row>
    <row r="24" spans="1:16" x14ac:dyDescent="0.2">
      <c r="A24" s="1">
        <v>41610</v>
      </c>
      <c r="B24" s="3">
        <v>0.03</v>
      </c>
      <c r="C24" s="3">
        <v>-0.01</v>
      </c>
      <c r="D24" s="3">
        <v>4.4999999999999998E-2</v>
      </c>
      <c r="E24">
        <v>156.35896299999999</v>
      </c>
      <c r="F24" s="3">
        <v>0.02</v>
      </c>
      <c r="G24" s="3">
        <v>1.1900000000000001E-2</v>
      </c>
      <c r="H24" s="2">
        <v>1639872</v>
      </c>
      <c r="I24" s="2">
        <v>1413475</v>
      </c>
      <c r="J24" s="2">
        <v>1136029</v>
      </c>
      <c r="L24">
        <v>1</v>
      </c>
      <c r="M24">
        <v>1</v>
      </c>
      <c r="N24">
        <v>1</v>
      </c>
    </row>
    <row r="25" spans="1:16" x14ac:dyDescent="0.2">
      <c r="A25" s="1">
        <v>41641</v>
      </c>
      <c r="B25" s="3">
        <v>-1E-3</v>
      </c>
      <c r="C25" s="3">
        <v>-8.0000000000000002E-3</v>
      </c>
      <c r="D25" s="3">
        <v>-0.01</v>
      </c>
      <c r="E25">
        <v>151.66648900000001</v>
      </c>
      <c r="F25" s="3">
        <v>-0.03</v>
      </c>
      <c r="G25" s="3">
        <v>-2.8999999999999998E-3</v>
      </c>
      <c r="H25" s="2">
        <v>1623560</v>
      </c>
      <c r="I25" s="2">
        <v>1439963</v>
      </c>
      <c r="J25" s="2">
        <v>1132735</v>
      </c>
      <c r="L25">
        <v>0</v>
      </c>
      <c r="M25">
        <v>0</v>
      </c>
      <c r="N25">
        <v>0</v>
      </c>
    </row>
    <row r="26" spans="1:16" x14ac:dyDescent="0.2">
      <c r="A26" s="1">
        <v>41673</v>
      </c>
      <c r="B26" s="3">
        <v>-3.1E-2</v>
      </c>
      <c r="C26" s="3">
        <v>3.2000000000000001E-2</v>
      </c>
      <c r="D26" s="3">
        <v>-2.8000000000000001E-2</v>
      </c>
      <c r="E26">
        <v>158.56976299999999</v>
      </c>
      <c r="F26" s="3">
        <v>4.5999999999999999E-2</v>
      </c>
      <c r="G26" s="3">
        <v>1.72E-2</v>
      </c>
      <c r="H26" s="2">
        <v>1578305</v>
      </c>
      <c r="I26" s="2">
        <v>1371082</v>
      </c>
      <c r="J26" s="2">
        <v>1152218</v>
      </c>
      <c r="L26">
        <v>0</v>
      </c>
      <c r="M26">
        <v>1</v>
      </c>
      <c r="N26">
        <v>1</v>
      </c>
    </row>
    <row r="27" spans="1:16" x14ac:dyDescent="0.2">
      <c r="A27" s="1">
        <v>41701</v>
      </c>
      <c r="B27" s="3">
        <v>6.6000000000000003E-2</v>
      </c>
      <c r="C27" s="3">
        <v>-5.7000000000000002E-2</v>
      </c>
      <c r="D27" s="3">
        <v>6.8000000000000005E-2</v>
      </c>
      <c r="E27">
        <v>159.182571</v>
      </c>
      <c r="F27" s="3">
        <v>4.0000000000000001E-3</v>
      </c>
      <c r="G27" s="3">
        <v>-4.7999999999999996E-3</v>
      </c>
      <c r="H27" s="2">
        <v>1685821</v>
      </c>
      <c r="I27" s="2">
        <v>1456179</v>
      </c>
      <c r="J27" s="2">
        <v>1146687</v>
      </c>
      <c r="L27">
        <v>1</v>
      </c>
      <c r="M27">
        <v>1</v>
      </c>
      <c r="N27">
        <v>0</v>
      </c>
    </row>
    <row r="28" spans="1:16" x14ac:dyDescent="0.2">
      <c r="A28" s="1">
        <v>41730</v>
      </c>
      <c r="B28" s="3">
        <v>1.9E-2</v>
      </c>
      <c r="C28" s="3">
        <v>-3.5999999999999997E-2</v>
      </c>
      <c r="D28" s="3">
        <v>2E-3</v>
      </c>
      <c r="E28">
        <v>160.99662799999999</v>
      </c>
      <c r="F28" s="3">
        <v>1.0999999999999999E-2</v>
      </c>
      <c r="G28" s="3">
        <v>-2.0999999999999999E-3</v>
      </c>
      <c r="H28" s="2">
        <v>1689503</v>
      </c>
      <c r="I28" s="2">
        <v>1488462</v>
      </c>
      <c r="J28" s="2">
        <v>1144279</v>
      </c>
      <c r="L28">
        <v>1</v>
      </c>
      <c r="M28">
        <v>1</v>
      </c>
      <c r="N28">
        <v>0</v>
      </c>
    </row>
    <row r="29" spans="1:16" x14ac:dyDescent="0.2">
      <c r="A29" s="1">
        <v>41760</v>
      </c>
      <c r="B29" s="3">
        <v>-2.1999999999999999E-2</v>
      </c>
      <c r="C29" s="3">
        <v>5.0000000000000001E-3</v>
      </c>
      <c r="D29" s="3">
        <v>-3.4000000000000002E-2</v>
      </c>
      <c r="E29">
        <v>164.73275799999999</v>
      </c>
      <c r="F29" s="3">
        <v>2.3E-2</v>
      </c>
      <c r="G29" s="3">
        <v>1.1299999999999999E-2</v>
      </c>
      <c r="H29" s="2">
        <v>1631242</v>
      </c>
      <c r="I29" s="2">
        <v>1489094</v>
      </c>
      <c r="J29" s="2">
        <v>1157210</v>
      </c>
      <c r="L29">
        <v>0</v>
      </c>
      <c r="M29">
        <v>1</v>
      </c>
      <c r="N29">
        <v>1</v>
      </c>
    </row>
    <row r="30" spans="1:16" x14ac:dyDescent="0.2">
      <c r="A30" s="1">
        <v>41792</v>
      </c>
      <c r="B30" s="3">
        <v>2.9000000000000001E-2</v>
      </c>
      <c r="C30" s="3">
        <v>-8.0000000000000002E-3</v>
      </c>
      <c r="D30" s="3">
        <v>4.3999999999999997E-2</v>
      </c>
      <c r="E30">
        <v>167.331818</v>
      </c>
      <c r="F30" s="3">
        <v>1.6E-2</v>
      </c>
      <c r="G30" s="3">
        <v>9.5999999999999992E-3</v>
      </c>
      <c r="H30" s="2">
        <v>1703397</v>
      </c>
      <c r="I30" s="2">
        <v>1525228</v>
      </c>
      <c r="J30" s="2">
        <v>1168319</v>
      </c>
      <c r="L30">
        <v>1</v>
      </c>
      <c r="M30">
        <v>1</v>
      </c>
      <c r="N30">
        <v>1</v>
      </c>
    </row>
    <row r="31" spans="1:16" x14ac:dyDescent="0.2">
      <c r="A31" s="1">
        <v>41821</v>
      </c>
      <c r="B31" s="3">
        <v>3.1E-2</v>
      </c>
      <c r="C31" s="3">
        <v>-2.8000000000000001E-2</v>
      </c>
      <c r="D31" s="3">
        <v>3.1E-2</v>
      </c>
      <c r="E31">
        <v>165.87432899999999</v>
      </c>
      <c r="F31" s="3">
        <v>-8.9999999999999993E-3</v>
      </c>
      <c r="G31" s="3">
        <v>-3.0999999999999999E-3</v>
      </c>
      <c r="H31" s="2">
        <v>1756153</v>
      </c>
      <c r="I31" s="2">
        <v>1565348</v>
      </c>
      <c r="J31" s="2">
        <v>1164697</v>
      </c>
      <c r="L31">
        <v>1</v>
      </c>
      <c r="M31">
        <v>0</v>
      </c>
      <c r="N31">
        <v>0</v>
      </c>
    </row>
    <row r="32" spans="1:16" x14ac:dyDescent="0.2">
      <c r="A32" s="1">
        <v>41852</v>
      </c>
      <c r="B32" s="3">
        <v>-2.1999999999999999E-2</v>
      </c>
      <c r="C32" s="3">
        <v>4.2000000000000003E-2</v>
      </c>
      <c r="D32" s="3">
        <v>-2E-3</v>
      </c>
      <c r="E32">
        <v>172.42034899999999</v>
      </c>
      <c r="F32" s="3">
        <v>3.9E-2</v>
      </c>
      <c r="G32" s="3">
        <v>8.8000000000000005E-3</v>
      </c>
      <c r="H32" s="2">
        <v>1751855</v>
      </c>
      <c r="I32" s="2">
        <v>1529359</v>
      </c>
      <c r="J32" s="2">
        <v>1174946</v>
      </c>
      <c r="L32">
        <v>0</v>
      </c>
      <c r="M32">
        <v>1</v>
      </c>
      <c r="N32">
        <v>1</v>
      </c>
    </row>
    <row r="33" spans="1:14" x14ac:dyDescent="0.2">
      <c r="A33" s="1">
        <v>41884</v>
      </c>
      <c r="B33" s="3">
        <v>4.3999999999999997E-2</v>
      </c>
      <c r="C33" s="3">
        <v>-4.2999999999999997E-2</v>
      </c>
      <c r="D33" s="3">
        <v>0.04</v>
      </c>
      <c r="E33">
        <v>169.25044299999999</v>
      </c>
      <c r="F33" s="3">
        <v>-1.7999999999999999E-2</v>
      </c>
      <c r="G33" s="3">
        <v>-1E-4</v>
      </c>
      <c r="H33" s="2">
        <v>1821704</v>
      </c>
      <c r="I33" s="2">
        <v>1593790</v>
      </c>
      <c r="J33" s="2">
        <v>1174829</v>
      </c>
      <c r="L33">
        <v>1</v>
      </c>
      <c r="M33">
        <v>0</v>
      </c>
      <c r="N33">
        <v>0</v>
      </c>
    </row>
    <row r="34" spans="1:14" x14ac:dyDescent="0.2">
      <c r="A34" s="1">
        <v>41913</v>
      </c>
      <c r="B34" s="3">
        <v>-0.02</v>
      </c>
      <c r="C34" s="3">
        <v>7.4999999999999997E-2</v>
      </c>
      <c r="D34" s="3">
        <v>3.2000000000000001E-2</v>
      </c>
      <c r="E34">
        <v>174.046234</v>
      </c>
      <c r="F34" s="3">
        <v>2.8000000000000001E-2</v>
      </c>
      <c r="G34" s="3">
        <v>-8.0000000000000002E-3</v>
      </c>
      <c r="H34" s="2">
        <v>1879564</v>
      </c>
      <c r="I34" s="2">
        <v>1551274</v>
      </c>
      <c r="J34" s="2">
        <v>1165430</v>
      </c>
      <c r="L34">
        <v>1</v>
      </c>
      <c r="M34">
        <v>1</v>
      </c>
      <c r="N34">
        <v>0</v>
      </c>
    </row>
    <row r="35" spans="1:14" x14ac:dyDescent="0.2">
      <c r="A35" s="1">
        <v>41946</v>
      </c>
      <c r="B35" s="3">
        <v>6.4000000000000001E-2</v>
      </c>
      <c r="C35" s="3">
        <v>5.7000000000000002E-2</v>
      </c>
      <c r="D35" s="3">
        <v>0.16600000000000001</v>
      </c>
      <c r="E35">
        <v>178.82757599999999</v>
      </c>
      <c r="F35" s="3">
        <v>2.7E-2</v>
      </c>
      <c r="G35" s="3">
        <v>1.4999999999999999E-2</v>
      </c>
      <c r="H35" s="2">
        <v>2191962</v>
      </c>
      <c r="I35" s="2">
        <v>1610500</v>
      </c>
      <c r="J35" s="2">
        <v>1182912</v>
      </c>
      <c r="L35">
        <v>1</v>
      </c>
      <c r="M35">
        <v>1</v>
      </c>
      <c r="N35">
        <v>1</v>
      </c>
    </row>
    <row r="36" spans="1:14" x14ac:dyDescent="0.2">
      <c r="A36" s="1">
        <v>41974</v>
      </c>
      <c r="B36" s="3">
        <v>1.2E-2</v>
      </c>
      <c r="C36" s="3">
        <v>3.6999999999999998E-2</v>
      </c>
      <c r="D36" s="3">
        <v>5.5E-2</v>
      </c>
      <c r="E36">
        <v>177.394882</v>
      </c>
      <c r="F36" s="3">
        <v>-8.0000000000000002E-3</v>
      </c>
      <c r="G36" s="3">
        <v>1E-4</v>
      </c>
      <c r="H36" s="2">
        <v>2313156</v>
      </c>
      <c r="I36" s="2">
        <v>1642347</v>
      </c>
      <c r="J36" s="2">
        <v>1183030</v>
      </c>
      <c r="L36">
        <v>1</v>
      </c>
      <c r="M36">
        <v>0</v>
      </c>
      <c r="N36">
        <v>1</v>
      </c>
    </row>
    <row r="37" spans="1:14" x14ac:dyDescent="0.2">
      <c r="A37" s="1">
        <v>42006</v>
      </c>
      <c r="B37" s="3">
        <v>0.01</v>
      </c>
      <c r="C37" s="3">
        <v>-5.0000000000000001E-3</v>
      </c>
      <c r="D37" s="3">
        <v>1.2999999999999999E-2</v>
      </c>
      <c r="E37">
        <v>173.088898</v>
      </c>
      <c r="F37" s="3">
        <v>-2.4E-2</v>
      </c>
      <c r="G37" s="3">
        <v>8.0999999999999996E-3</v>
      </c>
      <c r="H37" s="2">
        <v>2344185</v>
      </c>
      <c r="I37" s="2">
        <v>1648763</v>
      </c>
      <c r="J37" s="2">
        <v>1192613</v>
      </c>
      <c r="L37">
        <v>1</v>
      </c>
      <c r="M37">
        <v>0</v>
      </c>
      <c r="N37">
        <v>1</v>
      </c>
    </row>
    <row r="38" spans="1:14" x14ac:dyDescent="0.2">
      <c r="A38" s="1">
        <v>42037</v>
      </c>
      <c r="B38" s="3">
        <v>1.4999999999999999E-2</v>
      </c>
      <c r="C38" s="3">
        <v>3.4000000000000002E-2</v>
      </c>
      <c r="D38" s="3">
        <v>5.7000000000000002E-2</v>
      </c>
      <c r="E38">
        <v>182.817307</v>
      </c>
      <c r="F38" s="3">
        <v>5.6000000000000001E-2</v>
      </c>
      <c r="G38" s="3">
        <v>1.06E-2</v>
      </c>
      <c r="H38" s="2">
        <v>2477451</v>
      </c>
      <c r="I38" s="2">
        <v>1620592</v>
      </c>
      <c r="J38" s="2">
        <v>1205254</v>
      </c>
      <c r="L38">
        <v>1</v>
      </c>
      <c r="M38">
        <v>1</v>
      </c>
      <c r="N38">
        <v>1</v>
      </c>
    </row>
    <row r="39" spans="1:14" x14ac:dyDescent="0.2">
      <c r="A39" s="1">
        <v>42065</v>
      </c>
      <c r="B39" s="3">
        <v>0.01</v>
      </c>
      <c r="C39" s="3">
        <v>-7.4999999999999997E-2</v>
      </c>
      <c r="D39" s="3">
        <v>-0.05</v>
      </c>
      <c r="E39">
        <v>179.14636200000001</v>
      </c>
      <c r="F39" s="3">
        <v>-0.02</v>
      </c>
      <c r="G39" s="3">
        <v>6.0000000000000001E-3</v>
      </c>
      <c r="H39" s="2">
        <v>2353363</v>
      </c>
      <c r="I39" s="2">
        <v>1701413</v>
      </c>
      <c r="J39" s="2">
        <v>1212486</v>
      </c>
      <c r="L39">
        <v>0</v>
      </c>
      <c r="M39">
        <v>0</v>
      </c>
      <c r="N39">
        <v>1</v>
      </c>
    </row>
    <row r="40" spans="1:14" x14ac:dyDescent="0.2">
      <c r="A40" s="1">
        <v>42095</v>
      </c>
      <c r="B40" s="3">
        <v>-1E-3</v>
      </c>
      <c r="C40" s="3">
        <v>3.1E-2</v>
      </c>
      <c r="D40" s="3">
        <v>2.5999999999999999E-2</v>
      </c>
      <c r="E40">
        <v>181.71559099999999</v>
      </c>
      <c r="F40" s="3">
        <v>1.4E-2</v>
      </c>
      <c r="G40" s="3">
        <v>2.0000000000000001E-4</v>
      </c>
      <c r="H40" s="2">
        <v>2413473</v>
      </c>
      <c r="I40" s="2">
        <v>1658300</v>
      </c>
      <c r="J40" s="2">
        <v>1212728</v>
      </c>
      <c r="L40">
        <v>1</v>
      </c>
      <c r="M40">
        <v>1</v>
      </c>
      <c r="N40">
        <v>1</v>
      </c>
    </row>
    <row r="41" spans="1:14" x14ac:dyDescent="0.2">
      <c r="A41" s="1">
        <v>42125</v>
      </c>
      <c r="B41" s="3">
        <v>0</v>
      </c>
      <c r="C41" s="3">
        <v>-7.8E-2</v>
      </c>
      <c r="D41" s="3">
        <v>-7.0000000000000007E-2</v>
      </c>
      <c r="E41">
        <v>184.051773</v>
      </c>
      <c r="F41" s="3">
        <v>1.2999999999999999E-2</v>
      </c>
      <c r="G41" s="3">
        <v>8.3000000000000001E-3</v>
      </c>
      <c r="H41" s="2">
        <v>2245023</v>
      </c>
      <c r="I41" s="2">
        <v>1698770</v>
      </c>
      <c r="J41" s="2">
        <v>1222794</v>
      </c>
      <c r="L41">
        <v>0</v>
      </c>
      <c r="M41">
        <v>1</v>
      </c>
      <c r="N41">
        <v>1</v>
      </c>
    </row>
    <row r="42" spans="1:14" x14ac:dyDescent="0.2">
      <c r="A42" s="1">
        <v>42156</v>
      </c>
      <c r="B42" s="3">
        <v>2.1000000000000001E-2</v>
      </c>
      <c r="C42" s="3">
        <v>3.1E-2</v>
      </c>
      <c r="D42" s="3">
        <v>6.5000000000000002E-2</v>
      </c>
      <c r="E42">
        <v>179.44039900000001</v>
      </c>
      <c r="F42" s="3">
        <v>-2.5000000000000001E-2</v>
      </c>
      <c r="G42" s="3">
        <v>-1.3100000000000001E-2</v>
      </c>
      <c r="H42" s="2">
        <v>2390238</v>
      </c>
      <c r="I42" s="2">
        <v>1705622</v>
      </c>
      <c r="J42" s="2">
        <v>1206775</v>
      </c>
      <c r="L42">
        <v>1</v>
      </c>
      <c r="M42">
        <v>0</v>
      </c>
      <c r="N42">
        <v>0</v>
      </c>
    </row>
    <row r="43" spans="1:14" x14ac:dyDescent="0.2">
      <c r="A43" s="1">
        <v>42186</v>
      </c>
      <c r="B43" s="3">
        <v>8.0000000000000002E-3</v>
      </c>
      <c r="C43" s="3">
        <v>5.7000000000000002E-2</v>
      </c>
      <c r="D43" s="3">
        <v>6.6000000000000003E-2</v>
      </c>
      <c r="E43">
        <v>184.386414</v>
      </c>
      <c r="F43" s="3">
        <v>2.8000000000000001E-2</v>
      </c>
      <c r="G43" s="3">
        <v>8.6999999999999994E-3</v>
      </c>
      <c r="H43" s="2">
        <v>2548824</v>
      </c>
      <c r="I43" s="2">
        <v>1680948</v>
      </c>
      <c r="J43" s="2">
        <v>1217274</v>
      </c>
      <c r="L43">
        <v>1</v>
      </c>
      <c r="M43">
        <v>1</v>
      </c>
      <c r="N43">
        <v>1</v>
      </c>
    </row>
    <row r="44" spans="1:14" x14ac:dyDescent="0.2">
      <c r="A44" s="1">
        <v>42219</v>
      </c>
      <c r="B44" s="3">
        <v>3.2000000000000001E-2</v>
      </c>
      <c r="C44" s="3">
        <v>0.10100000000000001</v>
      </c>
      <c r="D44" s="3">
        <v>0.14799999999999999</v>
      </c>
      <c r="E44">
        <v>173.14802599999999</v>
      </c>
      <c r="F44" s="3">
        <v>-6.0999999999999999E-2</v>
      </c>
      <c r="G44" s="3">
        <v>-1.9900000000000001E-2</v>
      </c>
      <c r="H44" s="2">
        <v>2925713</v>
      </c>
      <c r="I44" s="2">
        <v>1699499</v>
      </c>
      <c r="J44" s="2">
        <v>1193051</v>
      </c>
      <c r="L44">
        <v>1</v>
      </c>
      <c r="M44">
        <v>0</v>
      </c>
      <c r="N44">
        <v>0</v>
      </c>
    </row>
    <row r="45" spans="1:14" x14ac:dyDescent="0.2">
      <c r="A45" s="1">
        <v>42248</v>
      </c>
      <c r="B45" s="3">
        <v>-6.9000000000000006E-2</v>
      </c>
      <c r="C45" s="3">
        <v>5.0999999999999997E-2</v>
      </c>
      <c r="D45" s="3">
        <v>-7.8E-2</v>
      </c>
      <c r="E45">
        <v>167.85734600000001</v>
      </c>
      <c r="F45" s="3">
        <v>-3.1E-2</v>
      </c>
      <c r="G45" s="3">
        <v>-1.41E-2</v>
      </c>
      <c r="H45" s="2">
        <v>2697862</v>
      </c>
      <c r="I45" s="2">
        <v>1553520</v>
      </c>
      <c r="J45" s="2">
        <v>1176229</v>
      </c>
      <c r="L45">
        <v>0</v>
      </c>
      <c r="M45">
        <v>0</v>
      </c>
      <c r="N45">
        <v>0</v>
      </c>
    </row>
    <row r="46" spans="1:14" x14ac:dyDescent="0.2">
      <c r="A46" s="1">
        <v>42278</v>
      </c>
      <c r="B46" s="3">
        <v>8.9999999999999993E-3</v>
      </c>
      <c r="C46" s="3">
        <v>6.7000000000000004E-2</v>
      </c>
      <c r="D46" s="3">
        <v>7.6999999999999999E-2</v>
      </c>
      <c r="E46">
        <v>183.08213799999999</v>
      </c>
      <c r="F46" s="3">
        <v>9.0999999999999998E-2</v>
      </c>
      <c r="G46" s="3">
        <v>5.3E-3</v>
      </c>
      <c r="H46" s="2">
        <v>2906833</v>
      </c>
      <c r="I46" s="2">
        <v>1564528</v>
      </c>
      <c r="J46" s="2">
        <v>1182463</v>
      </c>
      <c r="L46">
        <v>1</v>
      </c>
      <c r="M46">
        <v>1</v>
      </c>
      <c r="N46">
        <v>1</v>
      </c>
    </row>
    <row r="47" spans="1:14" x14ac:dyDescent="0.2">
      <c r="A47" s="1">
        <v>42310</v>
      </c>
      <c r="B47" s="3">
        <v>4.4999999999999998E-2</v>
      </c>
      <c r="C47" s="3">
        <v>-0.11899999999999999</v>
      </c>
      <c r="D47" s="3">
        <v>-2.5999999999999999E-2</v>
      </c>
      <c r="E47">
        <v>183.75129699999999</v>
      </c>
      <c r="F47" s="3">
        <v>4.0000000000000001E-3</v>
      </c>
      <c r="G47" s="3">
        <v>2E-3</v>
      </c>
      <c r="H47" s="2">
        <v>2830274</v>
      </c>
      <c r="I47" s="2">
        <v>1713220</v>
      </c>
      <c r="J47" s="2">
        <v>1184827</v>
      </c>
      <c r="L47">
        <v>0</v>
      </c>
      <c r="M47">
        <v>1</v>
      </c>
      <c r="N47">
        <v>1</v>
      </c>
    </row>
    <row r="48" spans="1:14" x14ac:dyDescent="0.2">
      <c r="A48" s="1">
        <v>42339</v>
      </c>
      <c r="B48" s="3">
        <v>-6.0000000000000001E-3</v>
      </c>
      <c r="C48" s="3">
        <v>1.0999999999999999E-2</v>
      </c>
      <c r="D48" s="3">
        <v>-1E-3</v>
      </c>
      <c r="E48">
        <v>179.50727800000001</v>
      </c>
      <c r="F48" s="3">
        <v>-2.3E-2</v>
      </c>
      <c r="G48" s="3">
        <v>-8.5000000000000006E-3</v>
      </c>
      <c r="H48" s="2">
        <v>2827896</v>
      </c>
      <c r="I48" s="2">
        <v>1715582</v>
      </c>
      <c r="J48" s="2">
        <v>1174756</v>
      </c>
      <c r="L48">
        <v>0</v>
      </c>
      <c r="M48">
        <v>0</v>
      </c>
      <c r="N48">
        <v>0</v>
      </c>
    </row>
    <row r="49" spans="1:14" x14ac:dyDescent="0.2">
      <c r="A49" s="1">
        <v>42373</v>
      </c>
      <c r="B49" s="3">
        <v>-6.0000000000000001E-3</v>
      </c>
      <c r="C49" s="3">
        <v>9.8000000000000004E-2</v>
      </c>
      <c r="D49" s="3">
        <v>7.6999999999999999E-2</v>
      </c>
      <c r="E49">
        <v>171.58535800000001</v>
      </c>
      <c r="F49" s="3">
        <v>-4.3999999999999997E-2</v>
      </c>
      <c r="G49" s="3">
        <v>-1.41E-2</v>
      </c>
      <c r="H49" s="2">
        <v>3046499</v>
      </c>
      <c r="I49" s="2">
        <v>1646661</v>
      </c>
      <c r="J49" s="2">
        <v>1158192</v>
      </c>
      <c r="L49">
        <v>1</v>
      </c>
      <c r="M49">
        <v>0</v>
      </c>
      <c r="N49">
        <v>0</v>
      </c>
    </row>
    <row r="50" spans="1:14" x14ac:dyDescent="0.2">
      <c r="A50" s="1">
        <v>42401</v>
      </c>
      <c r="B50" s="3">
        <v>2.1000000000000001E-2</v>
      </c>
      <c r="C50" s="3">
        <v>7.9000000000000001E-2</v>
      </c>
      <c r="D50" s="3">
        <v>0.11</v>
      </c>
      <c r="E50">
        <v>171.44366500000001</v>
      </c>
      <c r="F50" s="3">
        <v>-1E-3</v>
      </c>
      <c r="G50" s="3">
        <v>-1.0800000000000001E-2</v>
      </c>
      <c r="H50" s="2">
        <v>3380136</v>
      </c>
      <c r="I50" s="2">
        <v>1586290</v>
      </c>
      <c r="J50" s="2">
        <v>1145684</v>
      </c>
      <c r="L50">
        <v>1</v>
      </c>
      <c r="M50">
        <v>0</v>
      </c>
      <c r="N50">
        <v>0</v>
      </c>
    </row>
    <row r="51" spans="1:14" x14ac:dyDescent="0.2">
      <c r="A51" s="1">
        <v>42430</v>
      </c>
      <c r="B51" s="3">
        <v>0.01</v>
      </c>
      <c r="C51" s="3">
        <v>-3.2000000000000001E-2</v>
      </c>
      <c r="D51" s="3">
        <v>-1.0999999999999999E-2</v>
      </c>
      <c r="E51">
        <v>182.03710899999999</v>
      </c>
      <c r="F51" s="3">
        <v>6.2E-2</v>
      </c>
      <c r="G51" s="3">
        <v>2.8999999999999998E-3</v>
      </c>
      <c r="H51" s="2">
        <v>3343212</v>
      </c>
      <c r="I51" s="2">
        <v>1622824</v>
      </c>
      <c r="J51" s="2">
        <v>1149006</v>
      </c>
      <c r="L51">
        <v>0</v>
      </c>
      <c r="M51">
        <v>1</v>
      </c>
      <c r="N51">
        <v>1</v>
      </c>
    </row>
    <row r="52" spans="1:14" x14ac:dyDescent="0.2">
      <c r="A52" s="1">
        <v>42461</v>
      </c>
      <c r="B52" s="3">
        <v>5.6000000000000001E-2</v>
      </c>
      <c r="C52" s="3">
        <v>-0.08</v>
      </c>
      <c r="D52" s="3">
        <v>2.9000000000000001E-2</v>
      </c>
      <c r="E52">
        <v>183.69712799999999</v>
      </c>
      <c r="F52" s="3">
        <v>8.9999999999999993E-3</v>
      </c>
      <c r="G52" s="3">
        <v>3.3999999999999998E-3</v>
      </c>
      <c r="H52" s="2">
        <v>3441172</v>
      </c>
      <c r="I52" s="2">
        <v>1703734</v>
      </c>
      <c r="J52" s="2">
        <v>1152913</v>
      </c>
      <c r="L52">
        <v>1</v>
      </c>
      <c r="M52">
        <v>1</v>
      </c>
      <c r="N52">
        <v>1</v>
      </c>
    </row>
    <row r="53" spans="1:14" x14ac:dyDescent="0.2">
      <c r="A53" s="1">
        <v>42492</v>
      </c>
      <c r="B53" s="3">
        <v>-7.0000000000000001E-3</v>
      </c>
      <c r="C53" s="3">
        <v>-8.1000000000000003E-2</v>
      </c>
      <c r="D53" s="3">
        <v>-8.5999999999999993E-2</v>
      </c>
      <c r="E53">
        <v>186.822113</v>
      </c>
      <c r="F53" s="3">
        <v>1.7000000000000001E-2</v>
      </c>
      <c r="G53" s="3">
        <v>3.5999999999999999E-3</v>
      </c>
      <c r="H53" s="2">
        <v>3145642</v>
      </c>
      <c r="I53" s="2">
        <v>1712379</v>
      </c>
      <c r="J53" s="2">
        <v>1157063</v>
      </c>
      <c r="L53">
        <v>0</v>
      </c>
      <c r="M53">
        <v>1</v>
      </c>
      <c r="N53">
        <v>1</v>
      </c>
    </row>
    <row r="54" spans="1:14" x14ac:dyDescent="0.2">
      <c r="A54" s="1">
        <v>42522</v>
      </c>
      <c r="B54" s="3">
        <v>1.0999999999999999E-2</v>
      </c>
      <c r="C54" s="3">
        <v>1.4999999999999999E-2</v>
      </c>
      <c r="D54" s="3">
        <v>3.4000000000000002E-2</v>
      </c>
      <c r="E54">
        <v>186.501587</v>
      </c>
      <c r="F54" s="3">
        <v>-2E-3</v>
      </c>
      <c r="G54" s="3">
        <v>-1E-3</v>
      </c>
      <c r="H54" s="2">
        <v>3251811</v>
      </c>
      <c r="I54" s="2">
        <v>1731317</v>
      </c>
      <c r="J54" s="2">
        <v>1155906</v>
      </c>
      <c r="L54">
        <v>1</v>
      </c>
      <c r="M54">
        <v>0</v>
      </c>
      <c r="N54">
        <v>0</v>
      </c>
    </row>
    <row r="55" spans="1:14" x14ac:dyDescent="0.2">
      <c r="A55" s="1">
        <v>42552</v>
      </c>
      <c r="B55" s="3">
        <v>3.7999999999999999E-2</v>
      </c>
      <c r="C55" s="3">
        <v>-0.01</v>
      </c>
      <c r="D55" s="3">
        <v>5.8999999999999997E-2</v>
      </c>
      <c r="E55">
        <v>194.30883800000001</v>
      </c>
      <c r="F55" s="3">
        <v>4.2000000000000003E-2</v>
      </c>
      <c r="G55" s="3">
        <v>1.15E-2</v>
      </c>
      <c r="H55" s="2">
        <v>3443039</v>
      </c>
      <c r="I55" s="2">
        <v>1737424</v>
      </c>
      <c r="J55" s="2">
        <v>1169199</v>
      </c>
      <c r="L55">
        <v>1</v>
      </c>
      <c r="M55">
        <v>1</v>
      </c>
      <c r="N55">
        <v>1</v>
      </c>
    </row>
    <row r="56" spans="1:14" x14ac:dyDescent="0.2">
      <c r="A56" s="1">
        <v>42583</v>
      </c>
      <c r="B56" s="3">
        <v>4.8000000000000001E-2</v>
      </c>
      <c r="C56" s="3">
        <v>-1.7999999999999999E-2</v>
      </c>
      <c r="D56" s="3">
        <v>7.0000000000000007E-2</v>
      </c>
      <c r="E56">
        <v>194.541504</v>
      </c>
      <c r="F56" s="3">
        <v>1E-3</v>
      </c>
      <c r="G56" s="3">
        <v>4.7000000000000002E-3</v>
      </c>
      <c r="H56" s="2">
        <v>3685713</v>
      </c>
      <c r="I56" s="2">
        <v>1795525</v>
      </c>
      <c r="J56" s="2">
        <v>1174695</v>
      </c>
      <c r="L56">
        <v>1</v>
      </c>
      <c r="M56">
        <v>1</v>
      </c>
      <c r="N56">
        <v>1</v>
      </c>
    </row>
    <row r="57" spans="1:14" x14ac:dyDescent="0.2">
      <c r="A57" s="1">
        <v>42614</v>
      </c>
      <c r="B57" s="3">
        <v>2E-3</v>
      </c>
      <c r="C57" s="3">
        <v>3.0000000000000001E-3</v>
      </c>
      <c r="D57" s="3">
        <v>7.0000000000000001E-3</v>
      </c>
      <c r="E57">
        <v>193.57493600000001</v>
      </c>
      <c r="F57" s="3">
        <v>-5.0000000000000001E-3</v>
      </c>
      <c r="G57" s="3">
        <v>1.1999999999999999E-3</v>
      </c>
      <c r="H57" s="2">
        <v>3710316</v>
      </c>
      <c r="I57" s="2">
        <v>1799250</v>
      </c>
      <c r="J57" s="2">
        <v>1176104</v>
      </c>
      <c r="L57">
        <v>1</v>
      </c>
      <c r="M57">
        <v>0</v>
      </c>
      <c r="N57">
        <v>1</v>
      </c>
    </row>
    <row r="58" spans="1:14" x14ac:dyDescent="0.2">
      <c r="A58" s="1">
        <v>42646</v>
      </c>
      <c r="B58" s="3">
        <v>8.9999999999999993E-3</v>
      </c>
      <c r="C58" s="3">
        <v>8.9999999999999993E-3</v>
      </c>
      <c r="D58" s="3">
        <v>2.4E-2</v>
      </c>
      <c r="E58">
        <v>191.17981</v>
      </c>
      <c r="F58" s="3">
        <v>-1.2E-2</v>
      </c>
      <c r="G58" s="3">
        <v>-1.8E-3</v>
      </c>
      <c r="H58" s="2">
        <v>3798761</v>
      </c>
      <c r="I58" s="2">
        <v>1794946</v>
      </c>
      <c r="J58" s="2">
        <v>1173987</v>
      </c>
      <c r="L58">
        <v>1</v>
      </c>
      <c r="M58">
        <v>0</v>
      </c>
      <c r="N58">
        <v>0</v>
      </c>
    </row>
    <row r="59" spans="1:14" x14ac:dyDescent="0.2">
      <c r="A59" s="1">
        <v>42675</v>
      </c>
      <c r="B59" s="3">
        <v>-3.5000000000000003E-2</v>
      </c>
      <c r="C59" s="3">
        <v>-3.0000000000000001E-3</v>
      </c>
      <c r="D59" s="3">
        <v>-6.6000000000000003E-2</v>
      </c>
      <c r="E59">
        <v>198.22259500000001</v>
      </c>
      <c r="F59" s="3">
        <v>3.6999999999999998E-2</v>
      </c>
      <c r="G59" s="3">
        <v>3.5999999999999999E-3</v>
      </c>
      <c r="H59" s="2">
        <v>3547888</v>
      </c>
      <c r="I59" s="2">
        <v>1755267</v>
      </c>
      <c r="J59" s="2">
        <v>1178214</v>
      </c>
      <c r="L59">
        <v>0</v>
      </c>
      <c r="M59">
        <v>1</v>
      </c>
      <c r="N59">
        <v>1</v>
      </c>
    </row>
    <row r="60" spans="1:14" x14ac:dyDescent="0.2">
      <c r="A60" s="1">
        <v>42705</v>
      </c>
      <c r="B60" s="3">
        <v>4.2000000000000003E-2</v>
      </c>
      <c r="C60" s="3">
        <v>1.7000000000000001E-2</v>
      </c>
      <c r="D60" s="3">
        <v>0.09</v>
      </c>
      <c r="E60">
        <v>201.05586199999999</v>
      </c>
      <c r="F60" s="3">
        <v>1.4E-2</v>
      </c>
      <c r="G60" s="3">
        <v>9.5999999999999992E-3</v>
      </c>
      <c r="H60" s="2">
        <v>3868235</v>
      </c>
      <c r="I60" s="2">
        <v>1826473</v>
      </c>
      <c r="J60" s="2">
        <v>1189524</v>
      </c>
      <c r="L60">
        <v>1</v>
      </c>
      <c r="M60">
        <v>1</v>
      </c>
      <c r="N60">
        <v>1</v>
      </c>
    </row>
    <row r="61" spans="1:14" x14ac:dyDescent="0.2">
      <c r="A61" s="1">
        <v>42738</v>
      </c>
      <c r="B61" s="3">
        <v>3.1E-2</v>
      </c>
      <c r="C61" s="3">
        <v>-5.1999999999999998E-2</v>
      </c>
      <c r="D61" s="3">
        <v>8.0000000000000002E-3</v>
      </c>
      <c r="E61">
        <v>205.85997</v>
      </c>
      <c r="F61" s="3">
        <v>2.4E-2</v>
      </c>
      <c r="G61" s="3">
        <v>7.0000000000000001E-3</v>
      </c>
      <c r="H61" s="2">
        <v>3900866</v>
      </c>
      <c r="I61" s="2">
        <v>1884682</v>
      </c>
      <c r="J61" s="2">
        <v>1197851</v>
      </c>
      <c r="L61">
        <v>1</v>
      </c>
      <c r="M61">
        <v>1</v>
      </c>
      <c r="N61">
        <v>1</v>
      </c>
    </row>
    <row r="62" spans="1:14" x14ac:dyDescent="0.2">
      <c r="A62" s="1">
        <v>42767</v>
      </c>
      <c r="B62" s="3">
        <v>3.3000000000000002E-2</v>
      </c>
      <c r="C62" s="3">
        <v>2E-3</v>
      </c>
      <c r="D62" s="3">
        <v>0.06</v>
      </c>
      <c r="E62">
        <v>213.94850199999999</v>
      </c>
      <c r="F62" s="3">
        <v>3.9E-2</v>
      </c>
      <c r="G62" s="3">
        <v>9.7000000000000003E-3</v>
      </c>
      <c r="H62" s="2">
        <v>4134665</v>
      </c>
      <c r="I62" s="2">
        <v>1904596</v>
      </c>
      <c r="J62" s="2">
        <v>1209470</v>
      </c>
      <c r="L62">
        <v>1</v>
      </c>
      <c r="M62">
        <v>1</v>
      </c>
      <c r="N62">
        <v>1</v>
      </c>
    </row>
    <row r="63" spans="1:14" x14ac:dyDescent="0.2">
      <c r="A63" s="1">
        <v>42795</v>
      </c>
      <c r="B63" s="3">
        <v>5.2999999999999999E-2</v>
      </c>
      <c r="C63" s="3">
        <v>-5.8000000000000003E-2</v>
      </c>
      <c r="D63" s="3">
        <v>4.3999999999999997E-2</v>
      </c>
      <c r="E63">
        <v>213.287994</v>
      </c>
      <c r="F63" s="3">
        <v>-3.0000000000000001E-3</v>
      </c>
      <c r="G63" s="3">
        <v>3.8999999999999998E-3</v>
      </c>
      <c r="H63" s="2">
        <v>4315733</v>
      </c>
      <c r="I63" s="2">
        <v>2006344</v>
      </c>
      <c r="J63" s="2">
        <v>1214187</v>
      </c>
      <c r="L63">
        <v>1</v>
      </c>
      <c r="M63">
        <v>0</v>
      </c>
      <c r="N63">
        <v>1</v>
      </c>
    </row>
    <row r="64" spans="1:14" x14ac:dyDescent="0.2">
      <c r="A64" s="1">
        <v>42828</v>
      </c>
      <c r="B64" s="3">
        <v>-1.6E-2</v>
      </c>
      <c r="C64" s="3">
        <v>8.0000000000000002E-3</v>
      </c>
      <c r="D64" s="3">
        <v>-2.1999999999999999E-2</v>
      </c>
      <c r="E64">
        <v>216.34223900000001</v>
      </c>
      <c r="F64" s="3">
        <v>1.4E-2</v>
      </c>
      <c r="G64" s="3">
        <v>4.3E-3</v>
      </c>
      <c r="H64" s="2">
        <v>4220057</v>
      </c>
      <c r="I64" s="2">
        <v>1977675</v>
      </c>
      <c r="J64" s="2">
        <v>1219408</v>
      </c>
      <c r="L64">
        <v>0</v>
      </c>
      <c r="M64">
        <v>1</v>
      </c>
      <c r="N64">
        <v>1</v>
      </c>
    </row>
    <row r="65" spans="1:14" x14ac:dyDescent="0.2">
      <c r="A65" s="1">
        <v>42856</v>
      </c>
      <c r="B65" s="3">
        <v>2.1000000000000001E-2</v>
      </c>
      <c r="C65" s="3">
        <v>-7.0000000000000001E-3</v>
      </c>
      <c r="D65" s="3">
        <v>3.2000000000000001E-2</v>
      </c>
      <c r="E65">
        <v>219.39550800000001</v>
      </c>
      <c r="F65" s="3">
        <v>1.4E-2</v>
      </c>
      <c r="G65" s="3">
        <v>8.2000000000000007E-3</v>
      </c>
      <c r="H65" s="2">
        <v>4353319</v>
      </c>
      <c r="I65" s="2">
        <v>2005828</v>
      </c>
      <c r="J65" s="2">
        <v>1229407</v>
      </c>
      <c r="L65">
        <v>1</v>
      </c>
      <c r="M65">
        <v>1</v>
      </c>
      <c r="N65">
        <v>1</v>
      </c>
    </row>
    <row r="66" spans="1:14" x14ac:dyDescent="0.2">
      <c r="A66" s="1">
        <v>42887</v>
      </c>
      <c r="B66" s="3">
        <v>2.7E-2</v>
      </c>
      <c r="C66" s="3">
        <v>-1.9E-2</v>
      </c>
      <c r="D66" s="3">
        <v>0.03</v>
      </c>
      <c r="E66">
        <v>219.72259500000001</v>
      </c>
      <c r="F66" s="3">
        <v>1E-3</v>
      </c>
      <c r="G66" s="3">
        <v>-4.8999999999999998E-3</v>
      </c>
      <c r="H66" s="2">
        <v>4485597</v>
      </c>
      <c r="I66" s="2">
        <v>2045158</v>
      </c>
      <c r="J66" s="2">
        <v>1223383</v>
      </c>
      <c r="L66">
        <v>1</v>
      </c>
      <c r="M66">
        <v>1</v>
      </c>
      <c r="N66">
        <v>0</v>
      </c>
    </row>
    <row r="67" spans="1:14" x14ac:dyDescent="0.2">
      <c r="A67" s="1">
        <v>42919</v>
      </c>
      <c r="B67" s="3">
        <v>8.9999999999999993E-3</v>
      </c>
      <c r="C67" s="3">
        <v>1E-3</v>
      </c>
      <c r="D67" s="3">
        <v>1.7999999999999999E-2</v>
      </c>
      <c r="E67">
        <v>225.33235199999999</v>
      </c>
      <c r="F67" s="3">
        <v>2.5999999999999999E-2</v>
      </c>
      <c r="G67" s="3">
        <v>1.37E-2</v>
      </c>
      <c r="H67" s="2">
        <v>4565150</v>
      </c>
      <c r="I67" s="2">
        <v>2045420</v>
      </c>
      <c r="J67" s="2">
        <v>1240144</v>
      </c>
      <c r="L67">
        <v>1</v>
      </c>
      <c r="M67">
        <v>1</v>
      </c>
      <c r="N67">
        <v>1</v>
      </c>
    </row>
    <row r="68" spans="1:14" x14ac:dyDescent="0.2">
      <c r="A68" s="1">
        <v>42948</v>
      </c>
      <c r="B68" s="3">
        <v>3.2000000000000001E-2</v>
      </c>
      <c r="C68" s="3">
        <v>-1.7999999999999999E-2</v>
      </c>
      <c r="D68" s="3">
        <v>4.2000000000000003E-2</v>
      </c>
      <c r="E68">
        <v>225.989822</v>
      </c>
      <c r="F68" s="3">
        <v>3.0000000000000001E-3</v>
      </c>
      <c r="G68" s="3">
        <v>5.8999999999999999E-3</v>
      </c>
      <c r="H68" s="2">
        <v>4755388</v>
      </c>
      <c r="I68" s="2">
        <v>2088573</v>
      </c>
      <c r="J68" s="2">
        <v>1247460</v>
      </c>
      <c r="L68">
        <v>1</v>
      </c>
      <c r="M68">
        <v>1</v>
      </c>
      <c r="N68">
        <v>1</v>
      </c>
    </row>
    <row r="69" spans="1:14" x14ac:dyDescent="0.2">
      <c r="A69" s="1">
        <v>42979</v>
      </c>
      <c r="B69" s="3">
        <v>1.4E-2</v>
      </c>
      <c r="C69" s="3">
        <v>-3.0000000000000001E-3</v>
      </c>
      <c r="D69" s="3">
        <v>2.1999999999999999E-2</v>
      </c>
      <c r="E69">
        <v>229.40490700000001</v>
      </c>
      <c r="F69" s="3">
        <v>1.4999999999999999E-2</v>
      </c>
      <c r="G69" s="3">
        <v>-1.5E-3</v>
      </c>
      <c r="H69" s="2">
        <v>4860032</v>
      </c>
      <c r="I69" s="2">
        <v>2092964</v>
      </c>
      <c r="J69" s="2">
        <v>1245589</v>
      </c>
      <c r="L69">
        <v>1</v>
      </c>
      <c r="M69">
        <v>1</v>
      </c>
      <c r="N69">
        <v>0</v>
      </c>
    </row>
    <row r="70" spans="1:14" x14ac:dyDescent="0.2">
      <c r="A70" s="1">
        <v>43010</v>
      </c>
      <c r="B70" s="3">
        <v>3.6999999999999998E-2</v>
      </c>
      <c r="C70" s="3">
        <v>-8.0000000000000002E-3</v>
      </c>
      <c r="D70" s="3">
        <v>0.06</v>
      </c>
      <c r="E70">
        <v>235.97589099999999</v>
      </c>
      <c r="F70" s="3">
        <v>2.9000000000000001E-2</v>
      </c>
      <c r="G70" s="3">
        <v>1.2800000000000001E-2</v>
      </c>
      <c r="H70" s="2">
        <v>5153260</v>
      </c>
      <c r="I70" s="2">
        <v>2141372</v>
      </c>
      <c r="J70" s="2">
        <v>1261533</v>
      </c>
      <c r="L70">
        <v>1</v>
      </c>
      <c r="M70">
        <v>1</v>
      </c>
      <c r="N70">
        <v>1</v>
      </c>
    </row>
    <row r="71" spans="1:14" x14ac:dyDescent="0.2">
      <c r="A71" s="1">
        <v>43040</v>
      </c>
      <c r="B71" s="3">
        <v>3.1E-2</v>
      </c>
      <c r="C71" s="3">
        <v>-1.6E-2</v>
      </c>
      <c r="D71" s="3">
        <v>4.1000000000000002E-2</v>
      </c>
      <c r="E71">
        <v>243.188705</v>
      </c>
      <c r="F71" s="3">
        <v>3.1E-2</v>
      </c>
      <c r="G71" s="3">
        <v>1E-3</v>
      </c>
      <c r="H71" s="2">
        <v>5364857</v>
      </c>
      <c r="I71" s="2">
        <v>2185248</v>
      </c>
      <c r="J71" s="2">
        <v>1262794</v>
      </c>
      <c r="L71">
        <v>1</v>
      </c>
      <c r="M71">
        <v>1</v>
      </c>
      <c r="N71">
        <v>1</v>
      </c>
    </row>
    <row r="72" spans="1:14" x14ac:dyDescent="0.2">
      <c r="A72" s="1">
        <v>43070</v>
      </c>
      <c r="B72" s="3">
        <v>1.9E-2</v>
      </c>
      <c r="C72" s="3">
        <v>-3.6999999999999998E-2</v>
      </c>
      <c r="D72" s="3">
        <v>1E-3</v>
      </c>
      <c r="E72">
        <v>244.88639800000001</v>
      </c>
      <c r="F72" s="3">
        <v>7.0000000000000001E-3</v>
      </c>
      <c r="G72" s="3">
        <v>9.1000000000000004E-3</v>
      </c>
      <c r="H72" s="2">
        <v>5368208</v>
      </c>
      <c r="I72" s="2">
        <v>2244401</v>
      </c>
      <c r="J72" s="2">
        <v>1274286</v>
      </c>
      <c r="L72">
        <v>1</v>
      </c>
      <c r="M72">
        <v>1</v>
      </c>
      <c r="N72">
        <v>1</v>
      </c>
    </row>
    <row r="73" spans="1:14" x14ac:dyDescent="0.2">
      <c r="A73" s="1">
        <v>43102</v>
      </c>
      <c r="B73" s="3">
        <v>0.02</v>
      </c>
      <c r="C73" s="3">
        <v>0.02</v>
      </c>
      <c r="D73" s="3">
        <v>5.5E-2</v>
      </c>
      <c r="E73">
        <v>260.010223</v>
      </c>
      <c r="F73" s="3">
        <v>6.2E-2</v>
      </c>
      <c r="G73" s="3">
        <v>2.7099999999999999E-2</v>
      </c>
      <c r="H73" s="2">
        <v>5661885</v>
      </c>
      <c r="I73" s="2">
        <v>2292638</v>
      </c>
      <c r="J73" s="2">
        <v>1308819</v>
      </c>
      <c r="L73">
        <v>1</v>
      </c>
      <c r="M73">
        <v>1</v>
      </c>
      <c r="N73">
        <v>1</v>
      </c>
    </row>
    <row r="74" spans="1:14" x14ac:dyDescent="0.2">
      <c r="A74" s="1">
        <v>43132</v>
      </c>
      <c r="B74" s="3">
        <v>6.3E-2</v>
      </c>
      <c r="C74" s="3">
        <v>-2.7E-2</v>
      </c>
      <c r="D74" s="3">
        <v>8.8999999999999996E-2</v>
      </c>
      <c r="E74">
        <v>250.55612199999999</v>
      </c>
      <c r="F74" s="3">
        <v>-3.5999999999999997E-2</v>
      </c>
      <c r="G74" s="3">
        <v>-2.12E-2</v>
      </c>
      <c r="H74" s="2">
        <v>6167108</v>
      </c>
      <c r="I74" s="2">
        <v>2401908</v>
      </c>
      <c r="J74" s="2">
        <v>1281072</v>
      </c>
      <c r="L74">
        <v>1</v>
      </c>
      <c r="M74">
        <v>0</v>
      </c>
      <c r="N74">
        <v>0</v>
      </c>
    </row>
    <row r="75" spans="1:14" x14ac:dyDescent="0.2">
      <c r="A75" s="1">
        <v>43160</v>
      </c>
      <c r="B75" s="3">
        <v>-3.9E-2</v>
      </c>
      <c r="C75" s="3">
        <v>4.2999999999999997E-2</v>
      </c>
      <c r="D75" s="3">
        <v>-3.1E-2</v>
      </c>
      <c r="E75">
        <v>242.716217</v>
      </c>
      <c r="F75" s="3">
        <v>-3.1E-2</v>
      </c>
      <c r="G75" s="3">
        <v>-5.9999999999999995E-4</v>
      </c>
      <c r="H75" s="2">
        <v>5974389</v>
      </c>
      <c r="I75" s="2">
        <v>2283511</v>
      </c>
      <c r="J75" s="2">
        <v>1280303</v>
      </c>
      <c r="L75">
        <v>0</v>
      </c>
      <c r="M75">
        <v>0</v>
      </c>
      <c r="N75">
        <v>0</v>
      </c>
    </row>
    <row r="76" spans="1:14" x14ac:dyDescent="0.2">
      <c r="A76" s="1">
        <v>43192</v>
      </c>
      <c r="B76" s="3">
        <v>-3.5000000000000003E-2</v>
      </c>
      <c r="C76" s="3">
        <v>-1.9E-2</v>
      </c>
      <c r="D76" s="3">
        <v>-0.08</v>
      </c>
      <c r="E76">
        <v>244.94778400000001</v>
      </c>
      <c r="F76" s="3">
        <v>8.9999999999999993E-3</v>
      </c>
      <c r="G76" s="3">
        <v>5.0000000000000001E-4</v>
      </c>
      <c r="H76" s="2">
        <v>5497422</v>
      </c>
      <c r="I76" s="2">
        <v>2205043</v>
      </c>
      <c r="J76" s="2">
        <v>1280943</v>
      </c>
      <c r="L76">
        <v>0</v>
      </c>
      <c r="M76">
        <v>1</v>
      </c>
      <c r="N76">
        <v>1</v>
      </c>
    </row>
    <row r="77" spans="1:14" x14ac:dyDescent="0.2">
      <c r="A77" s="1">
        <v>43221</v>
      </c>
      <c r="B77" s="3">
        <v>0.01</v>
      </c>
      <c r="C77" s="3">
        <v>-0.01</v>
      </c>
      <c r="D77" s="3">
        <v>8.9999999999999993E-3</v>
      </c>
      <c r="E77">
        <v>250.90214499999999</v>
      </c>
      <c r="F77" s="3">
        <v>2.4E-2</v>
      </c>
      <c r="G77" s="3">
        <v>2.8E-3</v>
      </c>
      <c r="H77" s="2">
        <v>5545065</v>
      </c>
      <c r="I77" s="2">
        <v>2269362</v>
      </c>
      <c r="J77" s="2">
        <v>1284530</v>
      </c>
      <c r="L77">
        <v>1</v>
      </c>
      <c r="M77">
        <v>1</v>
      </c>
      <c r="N77">
        <v>1</v>
      </c>
    </row>
    <row r="78" spans="1:14" x14ac:dyDescent="0.2">
      <c r="A78" s="1">
        <v>43252</v>
      </c>
      <c r="B78" s="3">
        <v>5.1999999999999998E-2</v>
      </c>
      <c r="C78" s="3">
        <v>1E-3</v>
      </c>
      <c r="D78" s="3">
        <v>9.4E-2</v>
      </c>
      <c r="E78">
        <v>251.21704099999999</v>
      </c>
      <c r="F78" s="3">
        <v>1E-3</v>
      </c>
      <c r="G78" s="3">
        <v>-2.3E-3</v>
      </c>
      <c r="H78" s="2">
        <v>6063997</v>
      </c>
      <c r="I78" s="2">
        <v>2343185</v>
      </c>
      <c r="J78" s="2">
        <v>1281576</v>
      </c>
      <c r="L78">
        <v>1</v>
      </c>
      <c r="M78">
        <v>1</v>
      </c>
      <c r="N78">
        <v>0</v>
      </c>
    </row>
    <row r="79" spans="1:14" x14ac:dyDescent="0.2">
      <c r="A79" s="1">
        <v>43283</v>
      </c>
      <c r="B79" s="3">
        <v>-2.1000000000000001E-2</v>
      </c>
      <c r="C79" s="3">
        <v>-2.3E-2</v>
      </c>
      <c r="D79" s="3">
        <v>-5.8000000000000003E-2</v>
      </c>
      <c r="E79">
        <v>261.69360399999999</v>
      </c>
      <c r="F79" s="3">
        <v>4.2000000000000003E-2</v>
      </c>
      <c r="G79" s="3">
        <v>3.5999999999999999E-3</v>
      </c>
      <c r="H79" s="2">
        <v>5712448</v>
      </c>
      <c r="I79" s="2">
        <v>2338739</v>
      </c>
      <c r="J79" s="2">
        <v>1286189</v>
      </c>
      <c r="L79">
        <v>0</v>
      </c>
      <c r="M79">
        <v>1</v>
      </c>
      <c r="N79">
        <v>1</v>
      </c>
    </row>
    <row r="80" spans="1:14" x14ac:dyDescent="0.2">
      <c r="A80" s="1">
        <v>43313</v>
      </c>
      <c r="B80" s="3">
        <v>3.7999999999999999E-2</v>
      </c>
      <c r="C80" s="3">
        <v>-1.2999999999999999E-2</v>
      </c>
      <c r="D80" s="3">
        <v>5.6000000000000001E-2</v>
      </c>
      <c r="E80">
        <v>270.04684400000002</v>
      </c>
      <c r="F80" s="3">
        <v>3.2000000000000001E-2</v>
      </c>
      <c r="G80" s="3">
        <v>1.1999999999999999E-3</v>
      </c>
      <c r="H80" s="2">
        <v>6031786</v>
      </c>
      <c r="I80" s="2">
        <v>2416163</v>
      </c>
      <c r="J80" s="2">
        <v>1287733</v>
      </c>
      <c r="L80">
        <v>1</v>
      </c>
      <c r="M80">
        <v>1</v>
      </c>
      <c r="N80">
        <v>1</v>
      </c>
    </row>
    <row r="81" spans="1:14" x14ac:dyDescent="0.2">
      <c r="A81" s="1">
        <v>43347</v>
      </c>
      <c r="B81" s="3">
        <v>5.5E-2</v>
      </c>
      <c r="C81" s="3">
        <v>-0.02</v>
      </c>
      <c r="D81" s="3">
        <v>8.2000000000000003E-2</v>
      </c>
      <c r="E81">
        <v>270.42819200000002</v>
      </c>
      <c r="F81" s="3">
        <v>1E-3</v>
      </c>
      <c r="G81" s="3">
        <v>1E-3</v>
      </c>
      <c r="H81" s="2">
        <v>6528087</v>
      </c>
      <c r="I81" s="2">
        <v>2493157</v>
      </c>
      <c r="J81" s="2">
        <v>1289021</v>
      </c>
      <c r="L81">
        <v>1</v>
      </c>
      <c r="M81">
        <v>1</v>
      </c>
      <c r="N81">
        <v>1</v>
      </c>
    </row>
    <row r="82" spans="1:14" x14ac:dyDescent="0.2">
      <c r="A82" s="1">
        <v>43374</v>
      </c>
      <c r="B82" s="3">
        <v>3.0000000000000001E-3</v>
      </c>
      <c r="C82" s="3">
        <v>1.2E-2</v>
      </c>
      <c r="D82" s="3">
        <v>1.6E-2</v>
      </c>
      <c r="E82">
        <v>252.88005100000001</v>
      </c>
      <c r="F82" s="3">
        <v>-6.5000000000000002E-2</v>
      </c>
      <c r="G82" s="3">
        <v>-2.5700000000000001E-2</v>
      </c>
      <c r="H82" s="2">
        <v>6630021</v>
      </c>
      <c r="I82" s="2">
        <v>2521035</v>
      </c>
      <c r="J82" s="2">
        <v>1255893</v>
      </c>
      <c r="L82">
        <v>1</v>
      </c>
      <c r="M82">
        <v>0</v>
      </c>
      <c r="N82">
        <v>0</v>
      </c>
    </row>
    <row r="83" spans="1:14" x14ac:dyDescent="0.2">
      <c r="A83" s="1">
        <v>43405</v>
      </c>
      <c r="B83" s="3">
        <v>-2.5999999999999999E-2</v>
      </c>
      <c r="C83" s="3">
        <v>0.113</v>
      </c>
      <c r="D83" s="3">
        <v>5.6000000000000001E-2</v>
      </c>
      <c r="E83">
        <v>257.57067899999998</v>
      </c>
      <c r="F83" s="3">
        <v>1.9E-2</v>
      </c>
      <c r="G83" s="3">
        <v>-5.8999999999999999E-3</v>
      </c>
      <c r="H83" s="2">
        <v>6999428</v>
      </c>
      <c r="I83" s="2">
        <v>2363584</v>
      </c>
      <c r="J83" s="2">
        <v>1248483</v>
      </c>
      <c r="L83">
        <v>1</v>
      </c>
      <c r="M83">
        <v>1</v>
      </c>
      <c r="N83">
        <v>0</v>
      </c>
    </row>
    <row r="84" spans="1:14" x14ac:dyDescent="0.2">
      <c r="A84" s="1">
        <v>43437</v>
      </c>
      <c r="B84" s="3">
        <v>3.7999999999999999E-2</v>
      </c>
      <c r="C84" s="3">
        <v>1.7000000000000001E-2</v>
      </c>
      <c r="D84" s="3">
        <v>8.3000000000000004E-2</v>
      </c>
      <c r="E84">
        <v>233.52832000000001</v>
      </c>
      <c r="F84" s="3">
        <v>-9.2999999999999999E-2</v>
      </c>
      <c r="G84" s="3">
        <v>-1.1900000000000001E-2</v>
      </c>
      <c r="H84" s="2">
        <v>7583863</v>
      </c>
      <c r="I84" s="2">
        <v>2413619</v>
      </c>
      <c r="J84" s="2">
        <v>1233626</v>
      </c>
      <c r="L84">
        <v>1</v>
      </c>
      <c r="M84">
        <v>0</v>
      </c>
      <c r="N84">
        <v>0</v>
      </c>
    </row>
    <row r="85" spans="1:14" x14ac:dyDescent="0.2">
      <c r="A85" s="1">
        <v>43467</v>
      </c>
      <c r="B85" s="3">
        <v>-0.09</v>
      </c>
      <c r="C85" s="3">
        <v>0.13200000000000001</v>
      </c>
      <c r="D85" s="3">
        <v>-4.2999999999999997E-2</v>
      </c>
      <c r="E85">
        <v>253.69882200000001</v>
      </c>
      <c r="F85" s="3">
        <v>8.5999999999999993E-2</v>
      </c>
      <c r="G85" s="3">
        <v>1.77E-2</v>
      </c>
      <c r="H85" s="2">
        <v>7255996</v>
      </c>
      <c r="I85" s="2">
        <v>2174599</v>
      </c>
      <c r="J85" s="2">
        <v>1255461</v>
      </c>
      <c r="L85">
        <v>0</v>
      </c>
      <c r="M85">
        <v>1</v>
      </c>
      <c r="N85">
        <v>1</v>
      </c>
    </row>
    <row r="86" spans="1:14" x14ac:dyDescent="0.2">
      <c r="A86" s="1">
        <v>43497</v>
      </c>
      <c r="B86" s="3">
        <v>6.6000000000000003E-2</v>
      </c>
      <c r="C86" s="3">
        <v>-0.11700000000000001</v>
      </c>
      <c r="D86" s="3">
        <v>1.4E-2</v>
      </c>
      <c r="E86">
        <v>261.92266799999999</v>
      </c>
      <c r="F86" s="3">
        <v>3.2000000000000001E-2</v>
      </c>
      <c r="G86" s="3">
        <v>1.0800000000000001E-2</v>
      </c>
      <c r="H86" s="2">
        <v>7356608</v>
      </c>
      <c r="I86" s="2">
        <v>2347399</v>
      </c>
      <c r="J86" s="2">
        <v>1269020</v>
      </c>
      <c r="L86">
        <v>1</v>
      </c>
      <c r="M86">
        <v>1</v>
      </c>
      <c r="N86">
        <v>1</v>
      </c>
    </row>
    <row r="87" spans="1:14" x14ac:dyDescent="0.2">
      <c r="A87" s="1">
        <v>43525</v>
      </c>
      <c r="B87" s="3">
        <v>4.2000000000000003E-2</v>
      </c>
      <c r="C87" s="3">
        <v>-3.5000000000000003E-2</v>
      </c>
      <c r="D87" s="3">
        <v>4.3999999999999997E-2</v>
      </c>
      <c r="E87">
        <v>265.49420199999997</v>
      </c>
      <c r="F87" s="3">
        <v>1.4E-2</v>
      </c>
      <c r="G87" s="3">
        <v>1.09E-2</v>
      </c>
      <c r="H87" s="2">
        <v>7676951</v>
      </c>
      <c r="I87" s="2">
        <v>2437449</v>
      </c>
      <c r="J87" s="2">
        <v>1282852</v>
      </c>
      <c r="L87">
        <v>1</v>
      </c>
      <c r="M87">
        <v>1</v>
      </c>
      <c r="N87">
        <v>1</v>
      </c>
    </row>
    <row r="88" spans="1:14" x14ac:dyDescent="0.2">
      <c r="A88" s="1">
        <v>43556</v>
      </c>
      <c r="B88" s="3">
        <v>8.0000000000000002E-3</v>
      </c>
      <c r="C88" s="3">
        <v>-2.9000000000000001E-2</v>
      </c>
      <c r="D88" s="3">
        <v>-1.2E-2</v>
      </c>
      <c r="E88">
        <v>277.55746499999998</v>
      </c>
      <c r="F88" s="3">
        <v>4.4999999999999998E-2</v>
      </c>
      <c r="G88" s="3">
        <v>1.3599999999999999E-2</v>
      </c>
      <c r="H88" s="2">
        <v>7581991</v>
      </c>
      <c r="I88" s="2">
        <v>2495417</v>
      </c>
      <c r="J88" s="2">
        <v>1300299</v>
      </c>
      <c r="L88">
        <v>0</v>
      </c>
      <c r="M88">
        <v>1</v>
      </c>
      <c r="N88">
        <v>1</v>
      </c>
    </row>
    <row r="89" spans="1:14" x14ac:dyDescent="0.2">
      <c r="A89" s="1">
        <v>43586</v>
      </c>
      <c r="B89" s="3">
        <v>5.0000000000000001E-3</v>
      </c>
      <c r="C89" s="3">
        <v>2.1000000000000001E-2</v>
      </c>
      <c r="D89" s="3">
        <v>2.8000000000000001E-2</v>
      </c>
      <c r="E89">
        <v>259.85739100000001</v>
      </c>
      <c r="F89" s="3">
        <v>-6.4000000000000001E-2</v>
      </c>
      <c r="G89" s="3">
        <v>-0.01</v>
      </c>
      <c r="H89" s="2">
        <v>7792315</v>
      </c>
      <c r="I89" s="2">
        <v>2547625</v>
      </c>
      <c r="J89" s="2">
        <v>1287296</v>
      </c>
      <c r="L89">
        <v>1</v>
      </c>
      <c r="M89">
        <v>0</v>
      </c>
      <c r="N89">
        <v>0</v>
      </c>
    </row>
    <row r="90" spans="1:14" x14ac:dyDescent="0.2">
      <c r="A90" s="1">
        <v>43619</v>
      </c>
      <c r="B90" s="3">
        <v>-1.9E-2</v>
      </c>
      <c r="C90" s="3">
        <v>0.14599999999999999</v>
      </c>
      <c r="D90" s="3">
        <v>9.7000000000000003E-2</v>
      </c>
      <c r="E90">
        <v>276.59463499999998</v>
      </c>
      <c r="F90" s="3">
        <v>6.4000000000000001E-2</v>
      </c>
      <c r="G90" s="3">
        <v>0.02</v>
      </c>
      <c r="H90" s="2">
        <v>8547277</v>
      </c>
      <c r="I90" s="2">
        <v>2397113</v>
      </c>
      <c r="J90" s="2">
        <v>1313042</v>
      </c>
      <c r="L90">
        <v>1</v>
      </c>
      <c r="M90">
        <v>1</v>
      </c>
      <c r="N90">
        <v>1</v>
      </c>
    </row>
    <row r="91" spans="1:14" x14ac:dyDescent="0.2">
      <c r="A91" s="1">
        <v>43647</v>
      </c>
      <c r="B91" s="3">
        <v>3.1E-2</v>
      </c>
      <c r="C91" s="3">
        <v>-9.9000000000000005E-2</v>
      </c>
      <c r="D91" s="3">
        <v>-3.3000000000000002E-2</v>
      </c>
      <c r="E91">
        <v>282.14215100000001</v>
      </c>
      <c r="F91" s="3">
        <v>0.02</v>
      </c>
      <c r="G91" s="3">
        <v>7.1999999999999998E-3</v>
      </c>
      <c r="H91" s="2">
        <v>8265779</v>
      </c>
      <c r="I91" s="2">
        <v>2593791</v>
      </c>
      <c r="J91" s="2">
        <v>1322496</v>
      </c>
      <c r="L91">
        <v>0</v>
      </c>
      <c r="M91">
        <v>1</v>
      </c>
      <c r="N91">
        <v>1</v>
      </c>
    </row>
    <row r="92" spans="1:14" x14ac:dyDescent="0.2">
      <c r="A92" s="1">
        <v>43678</v>
      </c>
      <c r="B92" s="3">
        <v>0.01</v>
      </c>
      <c r="C92" s="3">
        <v>6.6000000000000003E-2</v>
      </c>
      <c r="D92" s="3">
        <v>7.6999999999999999E-2</v>
      </c>
      <c r="E92">
        <v>277.41812099999999</v>
      </c>
      <c r="F92" s="3">
        <v>-1.7000000000000001E-2</v>
      </c>
      <c r="G92" s="3">
        <v>-1.4E-3</v>
      </c>
      <c r="H92" s="2">
        <v>8900633</v>
      </c>
      <c r="I92" s="2">
        <v>2586598</v>
      </c>
      <c r="J92" s="2">
        <v>1320645</v>
      </c>
      <c r="L92">
        <v>1</v>
      </c>
      <c r="M92">
        <v>0</v>
      </c>
      <c r="N92">
        <v>0</v>
      </c>
    </row>
    <row r="93" spans="1:14" x14ac:dyDescent="0.2">
      <c r="A93" s="1">
        <v>43711</v>
      </c>
      <c r="B93" s="3">
        <v>1.9E-2</v>
      </c>
      <c r="C93" s="3">
        <v>9.5000000000000001E-2</v>
      </c>
      <c r="D93" s="3">
        <v>0.11899999999999999</v>
      </c>
      <c r="E93">
        <v>281.51608299999998</v>
      </c>
      <c r="F93" s="3">
        <v>1.4999999999999999E-2</v>
      </c>
      <c r="G93" s="3">
        <v>-3.2000000000000002E-3</v>
      </c>
      <c r="H93" s="2">
        <v>9962574</v>
      </c>
      <c r="I93" s="2">
        <v>2550629</v>
      </c>
      <c r="J93" s="2">
        <v>1316419</v>
      </c>
      <c r="L93">
        <v>1</v>
      </c>
      <c r="M93">
        <v>1</v>
      </c>
      <c r="N93">
        <v>0</v>
      </c>
    </row>
    <row r="94" spans="1:14" x14ac:dyDescent="0.2">
      <c r="A94" s="1">
        <v>43739</v>
      </c>
      <c r="B94" s="3">
        <v>5.0000000000000001E-3</v>
      </c>
      <c r="C94" s="3">
        <v>-1.6E-2</v>
      </c>
      <c r="D94" s="3">
        <v>-6.0000000000000001E-3</v>
      </c>
      <c r="E94">
        <v>289.06771900000001</v>
      </c>
      <c r="F94" s="3">
        <v>2.7E-2</v>
      </c>
      <c r="G94" s="3">
        <v>3.3999999999999998E-3</v>
      </c>
      <c r="H94" s="2">
        <v>9906999</v>
      </c>
      <c r="I94" s="2">
        <v>2584441</v>
      </c>
      <c r="J94" s="2">
        <v>1320894</v>
      </c>
      <c r="L94">
        <v>0</v>
      </c>
      <c r="M94">
        <v>1</v>
      </c>
      <c r="N94">
        <v>1</v>
      </c>
    </row>
    <row r="95" spans="1:14" x14ac:dyDescent="0.2">
      <c r="A95" s="1">
        <v>43770</v>
      </c>
      <c r="B95" s="3">
        <v>1.4999999999999999E-2</v>
      </c>
      <c r="C95" s="3">
        <v>-0.03</v>
      </c>
      <c r="D95" s="3">
        <v>-1E-3</v>
      </c>
      <c r="E95">
        <v>299.53140300000001</v>
      </c>
      <c r="F95" s="3">
        <v>3.5999999999999997E-2</v>
      </c>
      <c r="G95" s="3">
        <v>4.7000000000000002E-3</v>
      </c>
      <c r="H95" s="2">
        <v>9900996</v>
      </c>
      <c r="I95" s="2">
        <v>2698134</v>
      </c>
      <c r="J95" s="2">
        <v>1327103</v>
      </c>
      <c r="L95">
        <v>0</v>
      </c>
      <c r="M95">
        <v>1</v>
      </c>
      <c r="N95">
        <v>1</v>
      </c>
    </row>
    <row r="96" spans="1:14" x14ac:dyDescent="0.2">
      <c r="A96" s="1">
        <v>43801</v>
      </c>
      <c r="B96" s="3">
        <v>3.1E-2</v>
      </c>
      <c r="C96" s="3">
        <v>4.0000000000000001E-3</v>
      </c>
      <c r="D96" s="3">
        <v>5.8999999999999997E-2</v>
      </c>
      <c r="E96">
        <v>306.72640999999999</v>
      </c>
      <c r="F96" s="3">
        <v>2.4E-2</v>
      </c>
      <c r="G96" s="3">
        <v>1.61E-2</v>
      </c>
      <c r="H96" s="2">
        <v>10482147</v>
      </c>
      <c r="I96" s="2">
        <v>2746608</v>
      </c>
      <c r="J96" s="2">
        <v>1348469</v>
      </c>
      <c r="L96">
        <v>1</v>
      </c>
      <c r="M96">
        <v>1</v>
      </c>
      <c r="N96">
        <v>1</v>
      </c>
    </row>
    <row r="97" spans="1:14" x14ac:dyDescent="0.2">
      <c r="A97" s="1">
        <v>43832</v>
      </c>
      <c r="B97" s="3">
        <v>2.1999999999999999E-2</v>
      </c>
      <c r="C97" s="3">
        <v>-9.1999999999999998E-2</v>
      </c>
      <c r="D97" s="3">
        <v>-4.2999999999999997E-2</v>
      </c>
      <c r="E97">
        <v>308.10992399999998</v>
      </c>
      <c r="F97" s="3">
        <v>5.0000000000000001E-3</v>
      </c>
      <c r="G97" s="3">
        <v>1.6000000000000001E-3</v>
      </c>
      <c r="H97" s="2">
        <v>10031551</v>
      </c>
      <c r="I97" s="2">
        <v>2877286</v>
      </c>
      <c r="J97" s="2">
        <v>1350626</v>
      </c>
      <c r="L97">
        <v>0</v>
      </c>
      <c r="M97">
        <v>1</v>
      </c>
      <c r="N97">
        <v>1</v>
      </c>
    </row>
    <row r="98" spans="1:14" x14ac:dyDescent="0.2">
      <c r="A98" s="1">
        <v>43864</v>
      </c>
      <c r="B98" s="3">
        <v>5.0999999999999997E-2</v>
      </c>
      <c r="C98" s="3">
        <v>7.9000000000000001E-2</v>
      </c>
      <c r="D98" s="3">
        <v>0.16400000000000001</v>
      </c>
      <c r="E98">
        <v>283.71820100000002</v>
      </c>
      <c r="F98" s="3">
        <v>-7.9000000000000001E-2</v>
      </c>
      <c r="G98" s="3">
        <v>-1.9900000000000001E-2</v>
      </c>
      <c r="H98" s="2">
        <v>11671903</v>
      </c>
      <c r="I98" s="2">
        <v>2870643</v>
      </c>
      <c r="J98" s="2">
        <v>1323749</v>
      </c>
      <c r="L98">
        <v>1</v>
      </c>
      <c r="M98">
        <v>0</v>
      </c>
      <c r="N98">
        <v>0</v>
      </c>
    </row>
    <row r="99" spans="1:14" x14ac:dyDescent="0.2">
      <c r="A99" s="1">
        <v>43892</v>
      </c>
      <c r="B99" s="3">
        <v>-3.7999999999999999E-2</v>
      </c>
      <c r="C99" s="3">
        <v>7.9000000000000001E-2</v>
      </c>
      <c r="D99" s="3">
        <v>2E-3</v>
      </c>
      <c r="E99">
        <v>246.83848599999999</v>
      </c>
      <c r="F99" s="3">
        <v>-0.13</v>
      </c>
      <c r="G99" s="3">
        <v>-7.2800000000000004E-2</v>
      </c>
      <c r="H99" s="2">
        <v>11695197</v>
      </c>
      <c r="I99" s="2">
        <v>2737527</v>
      </c>
      <c r="J99" s="2">
        <v>1227380</v>
      </c>
      <c r="L99">
        <v>1</v>
      </c>
      <c r="M99">
        <v>0</v>
      </c>
      <c r="N99">
        <v>0</v>
      </c>
    </row>
    <row r="100" spans="1:14" x14ac:dyDescent="0.2">
      <c r="A100" s="1">
        <v>43922</v>
      </c>
      <c r="B100" s="3">
        <v>-0.29699999999999999</v>
      </c>
      <c r="C100" s="3">
        <v>0.248</v>
      </c>
      <c r="D100" s="3">
        <v>-0.31</v>
      </c>
      <c r="E100">
        <v>279.81869499999999</v>
      </c>
      <c r="F100" s="3">
        <v>0.13400000000000001</v>
      </c>
      <c r="G100" s="3">
        <v>2.4299999999999999E-2</v>
      </c>
      <c r="H100" s="2">
        <v>8066608</v>
      </c>
      <c r="I100" s="2">
        <v>2192904</v>
      </c>
      <c r="J100" s="2">
        <v>1257205</v>
      </c>
      <c r="L100">
        <v>0</v>
      </c>
      <c r="M100">
        <v>1</v>
      </c>
      <c r="N100">
        <v>1</v>
      </c>
    </row>
    <row r="101" spans="1:14" x14ac:dyDescent="0.2">
      <c r="A101" s="1">
        <v>43952</v>
      </c>
      <c r="B101" s="3">
        <v>0.16700000000000001</v>
      </c>
      <c r="C101" s="3">
        <v>-0.14599999999999999</v>
      </c>
      <c r="D101" s="3">
        <v>0.16800000000000001</v>
      </c>
      <c r="E101">
        <v>293.15072600000002</v>
      </c>
      <c r="F101" s="3">
        <v>4.8000000000000001E-2</v>
      </c>
      <c r="G101" s="3">
        <v>2.4899999999999999E-2</v>
      </c>
      <c r="H101" s="2">
        <v>9424630</v>
      </c>
      <c r="I101" s="2">
        <v>2519322</v>
      </c>
      <c r="J101" s="2">
        <v>1288510</v>
      </c>
      <c r="L101">
        <v>1</v>
      </c>
      <c r="M101">
        <v>1</v>
      </c>
      <c r="N101">
        <v>1</v>
      </c>
    </row>
    <row r="102" spans="1:14" x14ac:dyDescent="0.2">
      <c r="A102" s="1">
        <v>43983</v>
      </c>
      <c r="B102" s="3">
        <v>0.11899999999999999</v>
      </c>
      <c r="C102" s="3">
        <v>-8.8999999999999996E-2</v>
      </c>
      <c r="D102" s="3">
        <v>0.13400000000000001</v>
      </c>
      <c r="E102">
        <v>297.042419</v>
      </c>
      <c r="F102" s="3">
        <v>1.2999999999999999E-2</v>
      </c>
      <c r="G102" s="3">
        <v>1.1599999999999999E-2</v>
      </c>
      <c r="H102" s="2">
        <v>10684378</v>
      </c>
      <c r="I102" s="2">
        <v>2722087</v>
      </c>
      <c r="J102" s="2">
        <v>1303457</v>
      </c>
      <c r="L102">
        <v>1</v>
      </c>
      <c r="M102">
        <v>1</v>
      </c>
      <c r="N102">
        <v>1</v>
      </c>
    </row>
    <row r="103" spans="1:14" x14ac:dyDescent="0.2">
      <c r="A103" s="1">
        <v>44013</v>
      </c>
      <c r="B103" s="3">
        <v>0</v>
      </c>
      <c r="C103" s="3">
        <v>-1.2999999999999999E-2</v>
      </c>
      <c r="D103" s="3">
        <v>-1.0999999999999999E-2</v>
      </c>
      <c r="E103">
        <v>315.920074</v>
      </c>
      <c r="F103" s="3">
        <v>6.4000000000000001E-2</v>
      </c>
      <c r="G103" s="3">
        <v>2.64E-2</v>
      </c>
      <c r="H103" s="2">
        <v>10564749</v>
      </c>
      <c r="I103" s="2">
        <v>2778538</v>
      </c>
      <c r="J103" s="2">
        <v>1337868</v>
      </c>
      <c r="L103">
        <v>0</v>
      </c>
      <c r="M103">
        <v>1</v>
      </c>
      <c r="N103">
        <v>1</v>
      </c>
    </row>
    <row r="104" spans="1:14" x14ac:dyDescent="0.2">
      <c r="A104" s="1">
        <v>44046</v>
      </c>
      <c r="B104" s="3">
        <v>6.0999999999999999E-2</v>
      </c>
      <c r="C104" s="3">
        <v>-6.7000000000000004E-2</v>
      </c>
      <c r="D104" s="3">
        <v>0.05</v>
      </c>
      <c r="E104">
        <v>337.97024499999998</v>
      </c>
      <c r="F104" s="3">
        <v>7.0000000000000007E-2</v>
      </c>
      <c r="G104" s="3">
        <v>1.72E-2</v>
      </c>
      <c r="H104" s="2">
        <v>11093370</v>
      </c>
      <c r="I104" s="2">
        <v>2942018</v>
      </c>
      <c r="J104" s="2">
        <v>1360879</v>
      </c>
      <c r="L104">
        <v>1</v>
      </c>
      <c r="M104">
        <v>1</v>
      </c>
      <c r="N104">
        <v>1</v>
      </c>
    </row>
    <row r="105" spans="1:14" x14ac:dyDescent="0.2">
      <c r="A105" s="1">
        <v>44075</v>
      </c>
      <c r="B105" s="3">
        <v>5.3999999999999999E-2</v>
      </c>
      <c r="C105" s="3">
        <v>-0.02</v>
      </c>
      <c r="D105" s="3">
        <v>7.9000000000000001E-2</v>
      </c>
      <c r="E105">
        <v>324.01834100000002</v>
      </c>
      <c r="F105" s="3">
        <v>-4.1000000000000002E-2</v>
      </c>
      <c r="G105" s="3">
        <v>-9.2999999999999992E-3</v>
      </c>
      <c r="H105" s="2">
        <v>11967773</v>
      </c>
      <c r="I105" s="2">
        <v>3155070</v>
      </c>
      <c r="J105" s="2">
        <v>1348223</v>
      </c>
      <c r="L105">
        <v>1</v>
      </c>
      <c r="M105">
        <v>0</v>
      </c>
      <c r="N105">
        <v>0</v>
      </c>
    </row>
    <row r="106" spans="1:14" x14ac:dyDescent="0.2">
      <c r="A106" s="1">
        <v>44105</v>
      </c>
      <c r="B106" s="3">
        <v>-1.4E-2</v>
      </c>
      <c r="C106" s="3">
        <v>1.7999999999999999E-2</v>
      </c>
      <c r="D106" s="3">
        <v>-8.9999999999999993E-3</v>
      </c>
      <c r="E106">
        <v>317.20413200000002</v>
      </c>
      <c r="F106" s="3">
        <v>-2.1000000000000001E-2</v>
      </c>
      <c r="G106" s="3">
        <v>-4.7000000000000002E-3</v>
      </c>
      <c r="H106" s="2">
        <v>11862116</v>
      </c>
      <c r="I106" s="2">
        <v>3027912</v>
      </c>
      <c r="J106" s="2">
        <v>1341886</v>
      </c>
      <c r="L106">
        <v>0</v>
      </c>
      <c r="M106">
        <v>0</v>
      </c>
      <c r="N106">
        <v>0</v>
      </c>
    </row>
    <row r="107" spans="1:14" x14ac:dyDescent="0.2">
      <c r="A107" s="1">
        <v>44137</v>
      </c>
      <c r="B107" s="3">
        <v>6.0000000000000001E-3</v>
      </c>
      <c r="C107" s="3">
        <v>-1E-3</v>
      </c>
      <c r="D107" s="3">
        <v>8.9999999999999993E-3</v>
      </c>
      <c r="E107">
        <v>351.70855699999998</v>
      </c>
      <c r="F107" s="3">
        <v>0.109</v>
      </c>
      <c r="G107" s="3">
        <v>2.9899999999999999E-2</v>
      </c>
      <c r="H107" s="2">
        <v>11971604</v>
      </c>
      <c r="I107" s="2">
        <v>2966462</v>
      </c>
      <c r="J107" s="2">
        <v>1382009</v>
      </c>
      <c r="L107">
        <v>1</v>
      </c>
      <c r="M107">
        <v>1</v>
      </c>
      <c r="N107">
        <v>1</v>
      </c>
    </row>
    <row r="108" spans="1:14" x14ac:dyDescent="0.2">
      <c r="A108" s="1">
        <v>44166</v>
      </c>
      <c r="B108" s="3">
        <v>0.128</v>
      </c>
      <c r="C108" s="3">
        <v>-4.2000000000000003E-2</v>
      </c>
      <c r="D108" s="3">
        <v>0.192</v>
      </c>
      <c r="E108">
        <v>363.190674</v>
      </c>
      <c r="F108" s="3">
        <v>3.3000000000000002E-2</v>
      </c>
      <c r="G108" s="3">
        <v>3.78E-2</v>
      </c>
      <c r="H108" s="2">
        <v>14273778</v>
      </c>
      <c r="I108" s="2">
        <v>3288262</v>
      </c>
      <c r="J108" s="2">
        <v>1434249</v>
      </c>
      <c r="L108">
        <v>1</v>
      </c>
      <c r="M108">
        <v>1</v>
      </c>
      <c r="N108">
        <v>1</v>
      </c>
    </row>
    <row r="109" spans="1:14" x14ac:dyDescent="0.2">
      <c r="A109" s="1">
        <v>44200</v>
      </c>
      <c r="B109" s="3">
        <v>1.4E-2</v>
      </c>
      <c r="C109" s="3">
        <v>-1E-3</v>
      </c>
      <c r="D109" s="3">
        <v>2.5000000000000001E-2</v>
      </c>
      <c r="E109">
        <v>361.02200299999998</v>
      </c>
      <c r="F109" s="3">
        <v>-6.0000000000000001E-3</v>
      </c>
      <c r="G109" s="3">
        <v>-2.2000000000000001E-3</v>
      </c>
      <c r="H109" s="2">
        <v>14635273</v>
      </c>
      <c r="I109" s="2">
        <v>3327271</v>
      </c>
      <c r="J109" s="2">
        <v>1431093</v>
      </c>
      <c r="L109">
        <v>1</v>
      </c>
      <c r="M109">
        <v>0</v>
      </c>
      <c r="N109">
        <v>0</v>
      </c>
    </row>
    <row r="110" spans="1:14" x14ac:dyDescent="0.2">
      <c r="A110" s="1">
        <v>44228</v>
      </c>
      <c r="B110" s="3">
        <v>1.9E-2</v>
      </c>
      <c r="C110" s="3">
        <v>-0.02</v>
      </c>
      <c r="D110" s="3">
        <v>1.6E-2</v>
      </c>
      <c r="E110">
        <v>371.06033300000001</v>
      </c>
      <c r="F110" s="3">
        <v>2.8000000000000001E-2</v>
      </c>
      <c r="G110" s="3">
        <v>2.3300000000000001E-2</v>
      </c>
      <c r="H110" s="2">
        <v>14871101</v>
      </c>
      <c r="I110" s="2">
        <v>3394396</v>
      </c>
      <c r="J110" s="2">
        <v>1464438</v>
      </c>
      <c r="L110">
        <v>1</v>
      </c>
      <c r="M110">
        <v>1</v>
      </c>
      <c r="N110">
        <v>1</v>
      </c>
    </row>
    <row r="111" spans="1:14" x14ac:dyDescent="0.2">
      <c r="A111" s="1">
        <v>44256</v>
      </c>
      <c r="B111" s="3">
        <v>7.2999999999999995E-2</v>
      </c>
      <c r="C111" s="3">
        <v>5.0000000000000001E-3</v>
      </c>
      <c r="D111" s="3">
        <v>0.13600000000000001</v>
      </c>
      <c r="E111">
        <v>386.63989299999997</v>
      </c>
      <c r="F111" s="3">
        <v>4.2000000000000003E-2</v>
      </c>
      <c r="G111" s="3">
        <v>7.3000000000000001E-3</v>
      </c>
      <c r="H111" s="2">
        <v>16900529</v>
      </c>
      <c r="I111" s="2">
        <v>3514841</v>
      </c>
      <c r="J111" s="2">
        <v>1475128</v>
      </c>
      <c r="L111">
        <v>1</v>
      </c>
      <c r="M111">
        <v>1</v>
      </c>
      <c r="N111">
        <v>1</v>
      </c>
    </row>
    <row r="112" spans="1:14" x14ac:dyDescent="0.2">
      <c r="A112" s="1">
        <v>44287</v>
      </c>
      <c r="B112" s="3">
        <v>4.4999999999999998E-2</v>
      </c>
      <c r="C112" s="3">
        <v>1.7999999999999999E-2</v>
      </c>
      <c r="D112" s="3">
        <v>9.8000000000000004E-2</v>
      </c>
      <c r="E112">
        <v>408.43051100000002</v>
      </c>
      <c r="F112" s="3">
        <v>5.6000000000000001E-2</v>
      </c>
      <c r="G112" s="3">
        <v>2.5899999999999999E-2</v>
      </c>
      <c r="H112" s="2">
        <v>18554927</v>
      </c>
      <c r="I112" s="2">
        <v>3626193</v>
      </c>
      <c r="J112" s="2">
        <v>1513334</v>
      </c>
      <c r="L112">
        <v>1</v>
      </c>
      <c r="M112">
        <v>1</v>
      </c>
      <c r="N112">
        <v>1</v>
      </c>
    </row>
    <row r="113" spans="1:14" x14ac:dyDescent="0.2">
      <c r="A113" s="1">
        <v>44319</v>
      </c>
      <c r="B113" s="3">
        <v>0.05</v>
      </c>
      <c r="C113" s="3">
        <v>-3.7999999999999999E-2</v>
      </c>
      <c r="D113" s="3">
        <v>5.6000000000000001E-2</v>
      </c>
      <c r="E113">
        <v>411.11233499999997</v>
      </c>
      <c r="F113" s="3">
        <v>7.0000000000000001E-3</v>
      </c>
      <c r="G113" s="3">
        <v>1.0999999999999999E-2</v>
      </c>
      <c r="H113" s="2">
        <v>19589111</v>
      </c>
      <c r="I113" s="2">
        <v>3785412</v>
      </c>
      <c r="J113" s="2">
        <v>1529981</v>
      </c>
      <c r="L113">
        <v>1</v>
      </c>
      <c r="M113">
        <v>1</v>
      </c>
      <c r="N113">
        <v>1</v>
      </c>
    </row>
    <row r="114" spans="1:14" x14ac:dyDescent="0.2">
      <c r="A114" s="1">
        <v>44348</v>
      </c>
      <c r="B114" s="3">
        <v>6.2E-2</v>
      </c>
      <c r="C114" s="3">
        <v>-0.03</v>
      </c>
      <c r="D114" s="3">
        <v>8.5000000000000006E-2</v>
      </c>
      <c r="E114">
        <v>418.96182299999998</v>
      </c>
      <c r="F114" s="3">
        <v>1.9E-2</v>
      </c>
      <c r="G114" s="3">
        <v>-6.7000000000000002E-3</v>
      </c>
      <c r="H114" s="2">
        <v>21250458</v>
      </c>
      <c r="I114" s="2">
        <v>3798718</v>
      </c>
      <c r="J114" s="2">
        <v>1519730</v>
      </c>
      <c r="L114">
        <v>1</v>
      </c>
      <c r="M114">
        <v>1</v>
      </c>
      <c r="N114">
        <v>0</v>
      </c>
    </row>
    <row r="115" spans="1:14" x14ac:dyDescent="0.2">
      <c r="A115" s="1">
        <v>44378</v>
      </c>
      <c r="B115" s="3">
        <v>-4.9000000000000002E-2</v>
      </c>
      <c r="C115" s="3">
        <v>-3.3000000000000002E-2</v>
      </c>
      <c r="D115" s="3">
        <v>-0.11799999999999999</v>
      </c>
      <c r="E115">
        <v>430.59387199999998</v>
      </c>
      <c r="F115" s="3">
        <v>2.8000000000000001E-2</v>
      </c>
      <c r="G115" s="3">
        <v>2.8999999999999998E-3</v>
      </c>
      <c r="H115" s="2">
        <v>18744850</v>
      </c>
      <c r="I115" s="2">
        <v>3908860</v>
      </c>
      <c r="J115" s="2">
        <v>1524137</v>
      </c>
      <c r="L115">
        <v>0</v>
      </c>
      <c r="M115">
        <v>1</v>
      </c>
      <c r="N115">
        <v>1</v>
      </c>
    </row>
    <row r="116" spans="1:14" x14ac:dyDescent="0.2">
      <c r="A116" s="1">
        <v>44410</v>
      </c>
      <c r="B116" s="3">
        <v>-8.0000000000000002E-3</v>
      </c>
      <c r="C116" s="3">
        <v>6.4000000000000001E-2</v>
      </c>
      <c r="D116" s="3">
        <v>4.3999999999999997E-2</v>
      </c>
      <c r="E116">
        <v>443.40826399999997</v>
      </c>
      <c r="F116" s="3">
        <v>0.03</v>
      </c>
      <c r="G116" s="3">
        <v>9.1999999999999998E-3</v>
      </c>
      <c r="H116" s="2">
        <v>19572826</v>
      </c>
      <c r="I116" s="2">
        <v>3973882</v>
      </c>
      <c r="J116" s="2">
        <v>1538159</v>
      </c>
      <c r="L116">
        <v>1</v>
      </c>
      <c r="M116">
        <v>1</v>
      </c>
      <c r="N116">
        <v>1</v>
      </c>
    </row>
    <row r="117" spans="1:14" x14ac:dyDescent="0.2">
      <c r="A117" s="1">
        <v>44440</v>
      </c>
      <c r="B117" s="3">
        <v>0.03</v>
      </c>
      <c r="C117" s="3">
        <v>-1.4E-2</v>
      </c>
      <c r="D117" s="3">
        <v>4.2000000000000003E-2</v>
      </c>
      <c r="E117">
        <v>421.39306599999998</v>
      </c>
      <c r="F117" s="3">
        <v>-0.05</v>
      </c>
      <c r="G117" s="3">
        <v>-2.0000000000000001E-4</v>
      </c>
      <c r="H117" s="2">
        <v>20389510</v>
      </c>
      <c r="I117" s="2">
        <v>4102927</v>
      </c>
      <c r="J117" s="2">
        <v>1537851</v>
      </c>
      <c r="L117">
        <v>1</v>
      </c>
      <c r="M117">
        <v>0</v>
      </c>
      <c r="N117">
        <v>0</v>
      </c>
    </row>
    <row r="118" spans="1:14" x14ac:dyDescent="0.2">
      <c r="A118" s="1">
        <v>44470</v>
      </c>
      <c r="B118" s="3">
        <v>-0.03</v>
      </c>
      <c r="C118" s="3">
        <v>-3.5999999999999997E-2</v>
      </c>
      <c r="D118" s="3">
        <v>-8.5999999999999993E-2</v>
      </c>
      <c r="E118">
        <v>452.40417500000001</v>
      </c>
      <c r="F118" s="3">
        <v>7.3999999999999996E-2</v>
      </c>
      <c r="G118" s="3">
        <v>1.2800000000000001E-2</v>
      </c>
      <c r="H118" s="2">
        <v>18639428</v>
      </c>
      <c r="I118" s="2">
        <v>3956093</v>
      </c>
      <c r="J118" s="2">
        <v>1557536</v>
      </c>
      <c r="L118">
        <v>0</v>
      </c>
      <c r="M118">
        <v>1</v>
      </c>
      <c r="N118">
        <v>1</v>
      </c>
    </row>
    <row r="119" spans="1:14" x14ac:dyDescent="0.2">
      <c r="A119" s="1">
        <v>44501</v>
      </c>
      <c r="B119" s="3">
        <v>5.7000000000000002E-2</v>
      </c>
      <c r="C119" s="3">
        <v>-4.3999999999999997E-2</v>
      </c>
      <c r="D119" s="3">
        <v>6.3E-2</v>
      </c>
      <c r="E119">
        <v>448.76919600000002</v>
      </c>
      <c r="F119" s="3">
        <v>-8.0000000000000002E-3</v>
      </c>
      <c r="G119" s="3">
        <v>-2.2100000000000002E-2</v>
      </c>
      <c r="H119" s="2">
        <v>19818198</v>
      </c>
      <c r="I119" s="2">
        <v>4191142</v>
      </c>
      <c r="J119" s="2">
        <v>1523114</v>
      </c>
      <c r="L119">
        <v>1</v>
      </c>
      <c r="M119">
        <v>0</v>
      </c>
      <c r="N119">
        <v>0</v>
      </c>
    </row>
    <row r="120" spans="1:14" x14ac:dyDescent="0.2">
      <c r="A120" s="1">
        <v>44531</v>
      </c>
      <c r="B120" s="3">
        <v>-4.7E-2</v>
      </c>
      <c r="C120" s="3">
        <v>0.112</v>
      </c>
      <c r="D120" s="3">
        <v>1.7000000000000001E-2</v>
      </c>
      <c r="E120">
        <v>467.88003500000002</v>
      </c>
      <c r="F120" s="3">
        <v>4.2999999999999997E-2</v>
      </c>
      <c r="G120" s="3">
        <v>1.9199999999999998E-2</v>
      </c>
      <c r="H120" s="2">
        <v>20148381</v>
      </c>
      <c r="I120" s="2">
        <v>4104228</v>
      </c>
      <c r="J120" s="2">
        <v>1552358</v>
      </c>
      <c r="L120">
        <v>1</v>
      </c>
      <c r="M120">
        <v>1</v>
      </c>
      <c r="N120">
        <v>1</v>
      </c>
    </row>
    <row r="121" spans="1:14" x14ac:dyDescent="0.2">
      <c r="A121" s="1">
        <v>44564</v>
      </c>
      <c r="B121" s="3">
        <v>6.2E-2</v>
      </c>
      <c r="C121" s="3">
        <v>-4.1000000000000002E-2</v>
      </c>
      <c r="D121" s="3">
        <v>7.4999999999999997E-2</v>
      </c>
      <c r="E121">
        <v>444.76049799999998</v>
      </c>
      <c r="F121" s="3">
        <v>-4.9000000000000002E-2</v>
      </c>
      <c r="G121" s="3">
        <v>-6.6E-3</v>
      </c>
      <c r="H121" s="2">
        <v>21668588</v>
      </c>
      <c r="I121" s="2">
        <v>4367412</v>
      </c>
      <c r="J121" s="2">
        <v>1542113</v>
      </c>
      <c r="L121">
        <v>1</v>
      </c>
      <c r="M121">
        <v>0</v>
      </c>
      <c r="N121">
        <v>0</v>
      </c>
    </row>
    <row r="122" spans="1:14" x14ac:dyDescent="0.2">
      <c r="A122" s="1">
        <v>44593</v>
      </c>
      <c r="B122" s="3">
        <v>-0.06</v>
      </c>
      <c r="C122" s="3">
        <v>-3.0000000000000001E-3</v>
      </c>
      <c r="D122" s="3">
        <v>-0.111</v>
      </c>
      <c r="E122">
        <v>431.63250699999998</v>
      </c>
      <c r="F122" s="3">
        <v>-0.03</v>
      </c>
      <c r="G122" s="3">
        <v>3.7000000000000002E-3</v>
      </c>
      <c r="H122" s="2">
        <v>19262194</v>
      </c>
      <c r="I122" s="2">
        <v>4141046</v>
      </c>
      <c r="J122" s="2">
        <v>1547818</v>
      </c>
      <c r="L122">
        <v>0</v>
      </c>
      <c r="M122">
        <v>0</v>
      </c>
      <c r="N122">
        <v>1</v>
      </c>
    </row>
    <row r="123" spans="1:14" x14ac:dyDescent="0.2">
      <c r="A123" s="1">
        <v>44621</v>
      </c>
      <c r="B123" s="3">
        <v>-1.6E-2</v>
      </c>
      <c r="C123" s="3">
        <v>4.5999999999999999E-2</v>
      </c>
      <c r="D123" s="3">
        <v>1.2E-2</v>
      </c>
      <c r="E123">
        <v>446.47070300000001</v>
      </c>
      <c r="F123" s="3">
        <v>3.4000000000000002E-2</v>
      </c>
      <c r="G123" s="3">
        <v>2.4299999999999999E-2</v>
      </c>
      <c r="H123" s="2">
        <v>19491343</v>
      </c>
      <c r="I123" s="2">
        <v>3931046</v>
      </c>
      <c r="J123" s="2">
        <v>1585430</v>
      </c>
      <c r="L123">
        <v>1</v>
      </c>
      <c r="M123">
        <v>1</v>
      </c>
      <c r="N123">
        <v>1</v>
      </c>
    </row>
    <row r="124" spans="1:14" x14ac:dyDescent="0.2">
      <c r="A124" s="1">
        <v>44652</v>
      </c>
      <c r="B124" s="3">
        <v>8.2000000000000003E-2</v>
      </c>
      <c r="C124" s="3">
        <v>-0.08</v>
      </c>
      <c r="D124" s="3">
        <v>7.5999999999999998E-2</v>
      </c>
      <c r="E124">
        <v>408.54968300000002</v>
      </c>
      <c r="F124" s="3">
        <v>-8.5000000000000006E-2</v>
      </c>
      <c r="G124" s="3">
        <v>3.8999999999999998E-3</v>
      </c>
      <c r="H124" s="2">
        <v>20969894</v>
      </c>
      <c r="I124" s="2">
        <v>4153636</v>
      </c>
      <c r="J124" s="2">
        <v>1591614</v>
      </c>
      <c r="L124">
        <v>1</v>
      </c>
      <c r="M124">
        <v>0</v>
      </c>
      <c r="N124">
        <v>1</v>
      </c>
    </row>
    <row r="125" spans="1:14" x14ac:dyDescent="0.2">
      <c r="A125" s="1">
        <v>44683</v>
      </c>
      <c r="B125" s="3">
        <v>-6.9000000000000006E-2</v>
      </c>
      <c r="C125" s="3">
        <v>7.3999999999999996E-2</v>
      </c>
      <c r="D125" s="3">
        <v>-5.8000000000000003E-2</v>
      </c>
      <c r="E125">
        <v>409.47189300000002</v>
      </c>
      <c r="F125" s="3">
        <v>2E-3</v>
      </c>
      <c r="G125" s="3">
        <v>-6.3E-3</v>
      </c>
      <c r="H125" s="2">
        <v>19760504</v>
      </c>
      <c r="I125" s="2">
        <v>3801111</v>
      </c>
      <c r="J125" s="2">
        <v>1581586</v>
      </c>
      <c r="L125">
        <v>0</v>
      </c>
      <c r="M125">
        <v>1</v>
      </c>
      <c r="N125">
        <v>0</v>
      </c>
    </row>
    <row r="126" spans="1:14" x14ac:dyDescent="0.2">
      <c r="A126" s="1">
        <v>44713</v>
      </c>
      <c r="B126" s="3">
        <v>-7.0000000000000001E-3</v>
      </c>
      <c r="C126" s="3">
        <v>-5.2999999999999999E-2</v>
      </c>
      <c r="D126" s="3">
        <v>-0.06</v>
      </c>
      <c r="E126">
        <v>374.09069799999997</v>
      </c>
      <c r="F126" s="3">
        <v>-8.5999999999999993E-2</v>
      </c>
      <c r="G126" s="3">
        <v>-2.06E-2</v>
      </c>
      <c r="H126" s="2">
        <v>18566009</v>
      </c>
      <c r="I126" s="2">
        <v>3756266</v>
      </c>
      <c r="J126" s="2">
        <v>1549006</v>
      </c>
      <c r="L126">
        <v>0</v>
      </c>
      <c r="M126">
        <v>0</v>
      </c>
      <c r="N126">
        <v>0</v>
      </c>
    </row>
    <row r="127" spans="1:14" x14ac:dyDescent="0.2">
      <c r="A127" s="1">
        <v>44743</v>
      </c>
      <c r="B127" s="3">
        <v>1E-3</v>
      </c>
      <c r="C127" s="3">
        <v>0.14599999999999999</v>
      </c>
      <c r="D127" s="3">
        <v>0.13400000000000001</v>
      </c>
      <c r="E127">
        <v>410.30453499999999</v>
      </c>
      <c r="F127" s="3">
        <v>9.7000000000000003E-2</v>
      </c>
      <c r="G127" s="3">
        <v>5.3E-3</v>
      </c>
      <c r="H127" s="2">
        <v>21057110</v>
      </c>
      <c r="I127" s="2">
        <v>3511376</v>
      </c>
      <c r="J127" s="2">
        <v>1557215</v>
      </c>
      <c r="L127">
        <v>1</v>
      </c>
      <c r="M127">
        <v>1</v>
      </c>
      <c r="N127">
        <v>1</v>
      </c>
    </row>
    <row r="128" spans="1:14" x14ac:dyDescent="0.2">
      <c r="A128" s="1">
        <v>44774</v>
      </c>
      <c r="B128" s="3">
        <v>5.3999999999999999E-2</v>
      </c>
      <c r="C128" s="3">
        <v>-0.1</v>
      </c>
      <c r="D128" s="3">
        <v>7.0000000000000001E-3</v>
      </c>
      <c r="E128">
        <v>393.56329299999999</v>
      </c>
      <c r="F128" s="3">
        <v>-4.1000000000000002E-2</v>
      </c>
      <c r="G128" s="3">
        <v>5.1000000000000004E-3</v>
      </c>
      <c r="H128" s="2">
        <v>21214574</v>
      </c>
      <c r="I128" s="2">
        <v>3783359</v>
      </c>
      <c r="J128" s="2">
        <v>1565157</v>
      </c>
      <c r="L128">
        <v>1</v>
      </c>
      <c r="M128">
        <v>0</v>
      </c>
      <c r="N128">
        <v>1</v>
      </c>
    </row>
    <row r="129" spans="1:14" x14ac:dyDescent="0.2">
      <c r="A129" s="1">
        <v>44805</v>
      </c>
      <c r="B129" s="3">
        <v>-2.1999999999999999E-2</v>
      </c>
      <c r="C129" s="3">
        <v>3.9E-2</v>
      </c>
      <c r="D129" s="3">
        <v>-4.0000000000000001E-3</v>
      </c>
      <c r="E129">
        <v>355.71875</v>
      </c>
      <c r="F129" s="3">
        <v>-9.6000000000000002E-2</v>
      </c>
      <c r="G129" s="3">
        <v>-6.7999999999999996E-3</v>
      </c>
      <c r="H129" s="2">
        <v>21134188</v>
      </c>
      <c r="I129" s="2">
        <v>3651190</v>
      </c>
      <c r="J129" s="2">
        <v>1554514</v>
      </c>
      <c r="L129">
        <v>0</v>
      </c>
      <c r="M129">
        <v>0</v>
      </c>
      <c r="N129">
        <v>0</v>
      </c>
    </row>
    <row r="131" spans="1:14" x14ac:dyDescent="0.2">
      <c r="D131">
        <v>2.6328125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D8EAA-1F60-40AA-9D4B-594A713E6645}">
  <dimension ref="A1:I18"/>
  <sheetViews>
    <sheetView tabSelected="1" workbookViewId="0">
      <selection activeCell="B18" sqref="B18"/>
    </sheetView>
  </sheetViews>
  <sheetFormatPr baseColWidth="10" defaultColWidth="8.83203125" defaultRowHeight="16" x14ac:dyDescent="0.2"/>
  <sheetData>
    <row r="1" spans="1:9" x14ac:dyDescent="0.2">
      <c r="A1" t="s">
        <v>26</v>
      </c>
    </row>
    <row r="2" spans="1:9" ht="17" thickBot="1" x14ac:dyDescent="0.25"/>
    <row r="3" spans="1:9" x14ac:dyDescent="0.2">
      <c r="A3" s="7" t="s">
        <v>27</v>
      </c>
      <c r="B3" s="7"/>
    </row>
    <row r="4" spans="1:9" x14ac:dyDescent="0.2">
      <c r="A4" s="4" t="s">
        <v>28</v>
      </c>
      <c r="B4" s="4">
        <v>0.97692919450362947</v>
      </c>
    </row>
    <row r="5" spans="1:9" x14ac:dyDescent="0.2">
      <c r="A5" s="4" t="s">
        <v>29</v>
      </c>
      <c r="B5" s="4">
        <v>0.9543906510735104</v>
      </c>
    </row>
    <row r="6" spans="1:9" x14ac:dyDescent="0.2">
      <c r="A6" s="4" t="s">
        <v>30</v>
      </c>
      <c r="B6" s="4">
        <v>0.9540257762820985</v>
      </c>
    </row>
    <row r="7" spans="1:9" x14ac:dyDescent="0.2">
      <c r="A7" s="4" t="s">
        <v>31</v>
      </c>
      <c r="B7" s="4">
        <v>1359610.8300136209</v>
      </c>
    </row>
    <row r="8" spans="1:9" ht="17" thickBot="1" x14ac:dyDescent="0.25">
      <c r="A8" s="5" t="s">
        <v>32</v>
      </c>
      <c r="B8" s="5">
        <v>127</v>
      </c>
    </row>
    <row r="10" spans="1:9" ht="17" thickBot="1" x14ac:dyDescent="0.25">
      <c r="A10" t="s">
        <v>33</v>
      </c>
    </row>
    <row r="11" spans="1:9" x14ac:dyDescent="0.2">
      <c r="A11" s="6"/>
      <c r="B11" s="6" t="s">
        <v>38</v>
      </c>
      <c r="C11" s="6" t="s">
        <v>39</v>
      </c>
      <c r="D11" s="6" t="s">
        <v>40</v>
      </c>
      <c r="E11" s="6" t="s">
        <v>41</v>
      </c>
      <c r="F11" s="6" t="s">
        <v>42</v>
      </c>
    </row>
    <row r="12" spans="1:9" x14ac:dyDescent="0.2">
      <c r="A12" s="4" t="s">
        <v>34</v>
      </c>
      <c r="B12" s="4">
        <v>1</v>
      </c>
      <c r="C12" s="4">
        <v>4835167765384228</v>
      </c>
      <c r="D12" s="4">
        <v>4835167765384228</v>
      </c>
      <c r="E12" s="4">
        <v>2615.6661779247852</v>
      </c>
      <c r="F12" s="4">
        <v>1.1309858259584186E-85</v>
      </c>
    </row>
    <row r="13" spans="1:9" x14ac:dyDescent="0.2">
      <c r="A13" s="4" t="s">
        <v>35</v>
      </c>
      <c r="B13" s="4">
        <v>125</v>
      </c>
      <c r="C13" s="4">
        <v>231067701136290.88</v>
      </c>
      <c r="D13" s="4">
        <v>1848541609090.3269</v>
      </c>
      <c r="E13" s="4"/>
      <c r="F13" s="4"/>
    </row>
    <row r="14" spans="1:9" ht="17" thickBot="1" x14ac:dyDescent="0.25">
      <c r="A14" s="5" t="s">
        <v>36</v>
      </c>
      <c r="B14" s="5">
        <v>126</v>
      </c>
      <c r="C14" s="5">
        <v>5066235466520519</v>
      </c>
      <c r="D14" s="5"/>
      <c r="E14" s="5"/>
      <c r="F14" s="5"/>
    </row>
    <row r="15" spans="1:9" ht="17" thickBot="1" x14ac:dyDescent="0.25"/>
    <row r="16" spans="1:9" x14ac:dyDescent="0.2">
      <c r="A16" s="6"/>
      <c r="B16" s="6" t="s">
        <v>43</v>
      </c>
      <c r="C16" s="6" t="s">
        <v>31</v>
      </c>
      <c r="D16" s="6" t="s">
        <v>44</v>
      </c>
      <c r="E16" s="6" t="s">
        <v>45</v>
      </c>
      <c r="F16" s="6" t="s">
        <v>46</v>
      </c>
      <c r="G16" s="6" t="s">
        <v>47</v>
      </c>
      <c r="H16" s="6" t="s">
        <v>48</v>
      </c>
      <c r="I16" s="6" t="s">
        <v>49</v>
      </c>
    </row>
    <row r="17" spans="1:9" x14ac:dyDescent="0.2">
      <c r="A17" s="4" t="s">
        <v>37</v>
      </c>
      <c r="B17" s="4">
        <v>-8282716.4280734342</v>
      </c>
      <c r="C17" s="4">
        <v>323134.13130617567</v>
      </c>
      <c r="D17" s="4">
        <v>-25.632440604751235</v>
      </c>
      <c r="E17" s="4">
        <v>1.3197070042523836E-51</v>
      </c>
      <c r="F17" s="4">
        <v>-8922238.9779192023</v>
      </c>
      <c r="G17" s="4">
        <v>-7643193.878227666</v>
      </c>
      <c r="H17" s="4">
        <v>-8922238.9779192023</v>
      </c>
      <c r="I17" s="4">
        <v>-7643193.878227666</v>
      </c>
    </row>
    <row r="18" spans="1:9" ht="17" thickBot="1" x14ac:dyDescent="0.25">
      <c r="A18" s="5" t="s">
        <v>50</v>
      </c>
      <c r="B18" s="5">
        <v>6.8877398939739471</v>
      </c>
      <c r="C18" s="5">
        <v>0.13467456450555776</v>
      </c>
      <c r="D18" s="5">
        <v>51.14358393703737</v>
      </c>
      <c r="E18" s="5">
        <v>1.1309858259583543E-85</v>
      </c>
      <c r="F18" s="5">
        <v>6.6212022164348472</v>
      </c>
      <c r="G18" s="5">
        <v>7.1542775715130471</v>
      </c>
      <c r="H18" s="5">
        <v>6.6212022164348472</v>
      </c>
      <c r="I18" s="5">
        <v>7.1542775715130471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CURRENT_BUSINESS_CYCLE_STATUS</vt:lpstr>
      <vt:lpstr>BUSINESS_CYCLE_VARIABLES</vt:lpstr>
      <vt:lpstr>Sheet2</vt:lpstr>
      <vt:lpstr>hedge_fund_project</vt:lpstr>
      <vt:lpstr>Regression- S&amp;P500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Mitul Parikh</dc:creator>
  <cp:lastModifiedBy>Microsoft Office User</cp:lastModifiedBy>
  <dcterms:created xsi:type="dcterms:W3CDTF">2022-11-21T16:45:57Z</dcterms:created>
  <dcterms:modified xsi:type="dcterms:W3CDTF">2022-12-05T20:16:09Z</dcterms:modified>
</cp:coreProperties>
</file>